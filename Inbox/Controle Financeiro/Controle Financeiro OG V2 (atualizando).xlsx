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9c157ff2603468/Área de Trabalho/"/>
    </mc:Choice>
  </mc:AlternateContent>
  <xr:revisionPtr revIDLastSave="0" documentId="8_{F7D6DB4B-0C5D-4E7B-A35C-8609D8891D7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shboard Gabarito" sheetId="4" r:id="rId1"/>
    <sheet name="Base" sheetId="1" r:id="rId2"/>
    <sheet name="Planilha2" sheetId="8" r:id="rId3"/>
    <sheet name="Análise Gabarito" sheetId="2" r:id="rId4"/>
  </sheets>
  <definedNames>
    <definedName name="_xlnm._FilterDatabase" localSheetId="1" hidden="1">Base!$A$1:$I$264</definedName>
    <definedName name="_xlnm._FilterDatabase" localSheetId="2" hidden="1">Planilha2!$A$1:$B$31</definedName>
    <definedName name="SegmentaçãodeDados_Ano">#N/A</definedName>
    <definedName name="SegmentaçãodeDados_Categoria">#N/A</definedName>
    <definedName name="SegmentaçãodeDados_Mês_extenso">#N/A</definedName>
  </definedNames>
  <calcPr calcId="191029"/>
  <pivotCaches>
    <pivotCache cacheId="257" r:id="rId5"/>
    <pivotCache cacheId="27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2" l="1"/>
  <c r="AA21" i="2" s="1"/>
  <c r="AB21" i="2" s="1"/>
  <c r="Z21" i="2"/>
  <c r="Y22" i="2"/>
  <c r="Z22" i="2"/>
  <c r="Z30" i="2"/>
  <c r="Z29" i="2"/>
  <c r="Z28" i="2"/>
  <c r="Z27" i="2"/>
  <c r="Z26" i="2"/>
  <c r="Z25" i="2"/>
  <c r="Z24" i="2"/>
  <c r="Z23" i="2"/>
  <c r="Y30" i="2"/>
  <c r="Y29" i="2"/>
  <c r="Y28" i="2"/>
  <c r="Y27" i="2"/>
  <c r="Y26" i="2"/>
  <c r="Y25" i="2"/>
  <c r="Y24" i="2"/>
  <c r="Y23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" i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2" i="8"/>
  <c r="AA22" i="2" l="1"/>
  <c r="AB22" i="2" s="1"/>
  <c r="AA28" i="2"/>
  <c r="AB28" i="2" s="1"/>
  <c r="AC28" i="2" s="1"/>
  <c r="AA29" i="2"/>
  <c r="AB29" i="2" s="1"/>
  <c r="AC29" i="2" s="1"/>
  <c r="AA30" i="2"/>
  <c r="AB30" i="2" s="1"/>
  <c r="AC30" i="2" s="1"/>
  <c r="AA27" i="2"/>
  <c r="AB27" i="2" s="1"/>
  <c r="AC27" i="2" s="1"/>
  <c r="AC22" i="2"/>
  <c r="AA23" i="2"/>
  <c r="AB23" i="2" s="1"/>
  <c r="AC23" i="2" s="1"/>
  <c r="AA24" i="2"/>
  <c r="AB24" i="2" s="1"/>
  <c r="AC24" i="2" s="1"/>
  <c r="AA25" i="2"/>
  <c r="AB25" i="2" s="1"/>
  <c r="AC25" i="2" s="1"/>
  <c r="AA26" i="2"/>
  <c r="AB26" i="2" s="1"/>
  <c r="AC26" i="2" s="1"/>
  <c r="AA18" i="2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" i="1"/>
  <c r="H7" i="2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C2" i="1"/>
  <c r="B2" i="1"/>
  <c r="AC21" i="2" l="1"/>
  <c r="AA17" i="2"/>
  <c r="AC18" i="2" s="1"/>
  <c r="Y17" i="2"/>
  <c r="AC17" i="2" l="1"/>
</calcChain>
</file>

<file path=xl/sharedStrings.xml><?xml version="1.0" encoding="utf-8"?>
<sst xmlns="http://schemas.openxmlformats.org/spreadsheetml/2006/main" count="1577" uniqueCount="253">
  <si>
    <t>Data</t>
  </si>
  <si>
    <t>Tipo</t>
  </si>
  <si>
    <t>Categoria</t>
  </si>
  <si>
    <t>Descrição</t>
  </si>
  <si>
    <t>Valor</t>
  </si>
  <si>
    <t>Receita</t>
  </si>
  <si>
    <t>Despesa</t>
  </si>
  <si>
    <t>Salário</t>
  </si>
  <si>
    <t>Renda extra</t>
  </si>
  <si>
    <t>Moradia</t>
  </si>
  <si>
    <t>Transporte</t>
  </si>
  <si>
    <t>Saúde</t>
  </si>
  <si>
    <t>Lazer</t>
  </si>
  <si>
    <t>Freelas e comissões</t>
  </si>
  <si>
    <t>Água</t>
  </si>
  <si>
    <t>Gás</t>
  </si>
  <si>
    <t>Aluguel</t>
  </si>
  <si>
    <t>Manutenção do carro</t>
  </si>
  <si>
    <t>Energia</t>
  </si>
  <si>
    <t>Roupas</t>
  </si>
  <si>
    <t>Internet</t>
  </si>
  <si>
    <t>Exames médicos</t>
  </si>
  <si>
    <t>Mercado</t>
  </si>
  <si>
    <t>Condomínio</t>
  </si>
  <si>
    <t>Acessórios</t>
  </si>
  <si>
    <t>Seguro de carro</t>
  </si>
  <si>
    <t>Iptu</t>
  </si>
  <si>
    <t>Gasolina</t>
  </si>
  <si>
    <t>Cinema</t>
  </si>
  <si>
    <t>Plano de saúde</t>
  </si>
  <si>
    <t>Restaurante</t>
  </si>
  <si>
    <t>Passagem de ônibus</t>
  </si>
  <si>
    <t>Manutenção residencial</t>
  </si>
  <si>
    <t>Consulta particular</t>
  </si>
  <si>
    <t>Uber/táxi</t>
  </si>
  <si>
    <t>Show</t>
  </si>
  <si>
    <t>Pedágios</t>
  </si>
  <si>
    <t>Calçados</t>
  </si>
  <si>
    <t>Streaming</t>
  </si>
  <si>
    <t>Viagem</t>
  </si>
  <si>
    <t>Estacionamento</t>
  </si>
  <si>
    <t>Ano</t>
  </si>
  <si>
    <t>Mês</t>
  </si>
  <si>
    <t>Rótulos de Linha</t>
  </si>
  <si>
    <t>jan</t>
  </si>
  <si>
    <t>fev</t>
  </si>
  <si>
    <t>Soma de Valor</t>
  </si>
  <si>
    <t>Rótulos de Coluna</t>
  </si>
  <si>
    <t>Mês_extenso</t>
  </si>
  <si>
    <t>Categoria_receita</t>
  </si>
  <si>
    <t>Outras Receitas</t>
  </si>
  <si>
    <t>Receita Área</t>
  </si>
  <si>
    <t xml:space="preserve"> </t>
  </si>
  <si>
    <t>Valor Mês</t>
  </si>
  <si>
    <t>Valor Ano</t>
  </si>
  <si>
    <t>%</t>
  </si>
  <si>
    <t>Int</t>
  </si>
  <si>
    <t>Restante</t>
  </si>
  <si>
    <t>Total Mês</t>
  </si>
  <si>
    <t>Total Ano</t>
  </si>
  <si>
    <t>Total Base</t>
  </si>
  <si>
    <t>% do mês no ano</t>
  </si>
  <si>
    <t>% do ano na base</t>
  </si>
  <si>
    <t>Saldo do mês</t>
  </si>
  <si>
    <t>Ifood</t>
  </si>
  <si>
    <t>ALIMENTAÇÃO</t>
  </si>
  <si>
    <t>Salario clt</t>
  </si>
  <si>
    <t>SALÁRIO</t>
  </si>
  <si>
    <t>prev privada</t>
  </si>
  <si>
    <t>investimento</t>
  </si>
  <si>
    <t>PREV. PRIVADA</t>
  </si>
  <si>
    <t>Concerto carro</t>
  </si>
  <si>
    <t>TRANSPORTE</t>
  </si>
  <si>
    <t>curso</t>
  </si>
  <si>
    <t>EDUCAÇÃO</t>
  </si>
  <si>
    <t xml:space="preserve">PIX </t>
  </si>
  <si>
    <t>LAZER</t>
  </si>
  <si>
    <t>PIX ROLE</t>
  </si>
  <si>
    <t>uber</t>
  </si>
  <si>
    <t>Caldo de cana</t>
  </si>
  <si>
    <t>pastel</t>
  </si>
  <si>
    <t>cerveja</t>
  </si>
  <si>
    <t>c do padre</t>
  </si>
  <si>
    <t>dalton pipes</t>
  </si>
  <si>
    <t>seguro cartão</t>
  </si>
  <si>
    <t>CARTÃO</t>
  </si>
  <si>
    <t>Gran coffee</t>
  </si>
  <si>
    <t>role</t>
  </si>
  <si>
    <t>Café</t>
  </si>
  <si>
    <t>barbearia</t>
  </si>
  <si>
    <t>CUIDADOS PESSOAIS</t>
  </si>
  <si>
    <t>BOMA</t>
  </si>
  <si>
    <t>BELISCO BAR</t>
  </si>
  <si>
    <t>OXXO</t>
  </si>
  <si>
    <t>NUTRICAR</t>
  </si>
  <si>
    <t>PLR</t>
  </si>
  <si>
    <t>festa morita</t>
  </si>
  <si>
    <t>Apartamento</t>
  </si>
  <si>
    <t>APARTAMENTO</t>
  </si>
  <si>
    <t>farmacia</t>
  </si>
  <si>
    <t>cookie</t>
  </si>
  <si>
    <t>sorvete</t>
  </si>
  <si>
    <t>INVESTIMENTO</t>
  </si>
  <si>
    <t>pix pedrinho</t>
  </si>
  <si>
    <t>DENTISTA</t>
  </si>
  <si>
    <t>gastos cartao</t>
  </si>
  <si>
    <t>banca</t>
  </si>
  <si>
    <t>pix</t>
  </si>
  <si>
    <t>cabelo</t>
  </si>
  <si>
    <t>bar</t>
  </si>
  <si>
    <t>pix leh role</t>
  </si>
  <si>
    <t>mercado</t>
  </si>
  <si>
    <t>estacionamento</t>
  </si>
  <si>
    <t>pod</t>
  </si>
  <si>
    <t>pix zord</t>
  </si>
  <si>
    <t>borda - bar</t>
  </si>
  <si>
    <t>pix hamburguer guide</t>
  </si>
  <si>
    <t>spyads - mkt</t>
  </si>
  <si>
    <t>MARKETING</t>
  </si>
  <si>
    <t>flores nati</t>
  </si>
  <si>
    <t>NATI</t>
  </si>
  <si>
    <t>presente cabral</t>
  </si>
  <si>
    <t>blacktag</t>
  </si>
  <si>
    <t>vans</t>
  </si>
  <si>
    <t>aramis</t>
  </si>
  <si>
    <t>praia</t>
  </si>
  <si>
    <t>pix nati</t>
  </si>
  <si>
    <t>pix renan</t>
  </si>
  <si>
    <t>13o salario</t>
  </si>
  <si>
    <t>Presente nati</t>
  </si>
  <si>
    <t>posto</t>
  </si>
  <si>
    <t>uber franco pix</t>
  </si>
  <si>
    <t>aplicação CDB</t>
  </si>
  <si>
    <t>XPML11</t>
  </si>
  <si>
    <t>PVBI11</t>
  </si>
  <si>
    <t>PEROLA NEGRA - MKT</t>
  </si>
  <si>
    <t>PIX LUCAS</t>
  </si>
  <si>
    <t>Investimento FIIs</t>
  </si>
  <si>
    <t>INSIDER - ISA</t>
  </si>
  <si>
    <t>PRESENTE</t>
  </si>
  <si>
    <t>HEAVY HOUSE</t>
  </si>
  <si>
    <t>bar do velho</t>
  </si>
  <si>
    <t>WRLD11</t>
  </si>
  <si>
    <t>dividendos investimento</t>
  </si>
  <si>
    <t>mc donalds</t>
  </si>
  <si>
    <t>pix presente</t>
  </si>
  <si>
    <t>bolão</t>
  </si>
  <si>
    <t>barbas</t>
  </si>
  <si>
    <t>bar osasco podre</t>
  </si>
  <si>
    <t>ifood - cabana</t>
  </si>
  <si>
    <t>jogo</t>
  </si>
  <si>
    <t>patties</t>
  </si>
  <si>
    <t>renner</t>
  </si>
  <si>
    <t>chatgpt</t>
  </si>
  <si>
    <t>ASSINATURA</t>
  </si>
  <si>
    <t>IOF</t>
  </si>
  <si>
    <t>PIX VA</t>
  </si>
  <si>
    <t>PRESENTE MAMAE</t>
  </si>
  <si>
    <t>martinelli</t>
  </si>
  <si>
    <t>suco - tambore</t>
  </si>
  <si>
    <t>centauro</t>
  </si>
  <si>
    <t>REEMBOLSO</t>
  </si>
  <si>
    <t>casa pilão</t>
  </si>
  <si>
    <t>OF</t>
  </si>
  <si>
    <t>cu do padre</t>
  </si>
  <si>
    <t>fatz</t>
  </si>
  <si>
    <t>bar leh</t>
  </si>
  <si>
    <t>CURSO</t>
  </si>
  <si>
    <t>Rent.inv.facil</t>
  </si>
  <si>
    <t>IFD*iFood</t>
  </si>
  <si>
    <t>Pgto Rend - b3</t>
  </si>
  <si>
    <t>OUTBACK BOURBOUN SP</t>
  </si>
  <si>
    <t>SONDA AGUA BRANCA</t>
  </si>
  <si>
    <t>Transfe Pix</t>
  </si>
  <si>
    <t>GRAN  COFFEE</t>
  </si>
  <si>
    <t>pix role</t>
  </si>
  <si>
    <t>COZINHA 212</t>
  </si>
  <si>
    <t>OPENAI *CHATGPT SUBSCR</t>
  </si>
  <si>
    <t>KIWIFY *HelpspyAds</t>
  </si>
  <si>
    <t>IOF S/ TRANS INTER REAIS</t>
  </si>
  <si>
    <t>Cota</t>
  </si>
  <si>
    <t>Transfe Pix NICO</t>
  </si>
  <si>
    <t>Transfe Pix Quental</t>
  </si>
  <si>
    <t>THE CHAMPS - A BARBEAR</t>
  </si>
  <si>
    <t>D-EDGE FESTIVAL</t>
  </si>
  <si>
    <t>benihana</t>
  </si>
  <si>
    <t>VA</t>
  </si>
  <si>
    <t>TROFEU CERVEGAMES</t>
  </si>
  <si>
    <t>Gasto c Credito</t>
  </si>
  <si>
    <t>Aplicacao Cdb</t>
  </si>
  <si>
    <t>adesivo cervegames</t>
  </si>
  <si>
    <t>CAPINHA CELULAR</t>
  </si>
  <si>
    <t>ZIG*AMATA</t>
  </si>
  <si>
    <t>CASA BATIDA</t>
  </si>
  <si>
    <t>carnaval - bebida</t>
  </si>
  <si>
    <t>formatura leh</t>
  </si>
  <si>
    <t>IFD*MANIHI SUSHI - TAMBOR</t>
  </si>
  <si>
    <t>Cervegames</t>
  </si>
  <si>
    <t>chopeira</t>
  </si>
  <si>
    <t>sanduiche de metro</t>
  </si>
  <si>
    <t/>
  </si>
  <si>
    <t>Profissional</t>
  </si>
  <si>
    <t>Bônus</t>
  </si>
  <si>
    <t>Empreendedorismo</t>
  </si>
  <si>
    <t>Alimentação</t>
  </si>
  <si>
    <t>Delivery</t>
  </si>
  <si>
    <t>Assinatura</t>
  </si>
  <si>
    <t>IA</t>
  </si>
  <si>
    <t>Rateio</t>
  </si>
  <si>
    <t>Serviço</t>
  </si>
  <si>
    <t>Bar</t>
  </si>
  <si>
    <t>Balada</t>
  </si>
  <si>
    <t>x</t>
  </si>
  <si>
    <t>Feira</t>
  </si>
  <si>
    <t>Mercadinho</t>
  </si>
  <si>
    <t>Barbearia</t>
  </si>
  <si>
    <t>Dentista</t>
  </si>
  <si>
    <t>y</t>
  </si>
  <si>
    <t>Parcela apto</t>
  </si>
  <si>
    <t>Cartão</t>
  </si>
  <si>
    <t>Seguro</t>
  </si>
  <si>
    <t>-</t>
  </si>
  <si>
    <t>Cuidados Pessoais</t>
  </si>
  <si>
    <t>Farmácia</t>
  </si>
  <si>
    <t>Investimentos</t>
  </si>
  <si>
    <t>Rendimentos/Dividendos</t>
  </si>
  <si>
    <t>Resgates</t>
  </si>
  <si>
    <t>Vendas Low-Ticket</t>
  </si>
  <si>
    <t>Pix</t>
  </si>
  <si>
    <t>Tráfego/Ads</t>
  </si>
  <si>
    <t>Infraestrutura</t>
  </si>
  <si>
    <t>Esportes</t>
  </si>
  <si>
    <t>Tênis</t>
  </si>
  <si>
    <t>Relacionamento</t>
  </si>
  <si>
    <t>Nati</t>
  </si>
  <si>
    <t>Familia</t>
  </si>
  <si>
    <t>Desenvolvimento</t>
  </si>
  <si>
    <t>Cursos</t>
  </si>
  <si>
    <t>Vestuário &amp; Acessórios</t>
  </si>
  <si>
    <t>Previdência Privada</t>
  </si>
  <si>
    <t>Renda variável</t>
  </si>
  <si>
    <t>Renda Fixa</t>
  </si>
  <si>
    <t>Caixas Especificos</t>
  </si>
  <si>
    <t>FII</t>
  </si>
  <si>
    <t>Banca</t>
  </si>
  <si>
    <t>Presente</t>
  </si>
  <si>
    <t>Role</t>
  </si>
  <si>
    <t>Acessórios Diversos</t>
  </si>
  <si>
    <t>Videogames</t>
  </si>
  <si>
    <t>13o</t>
  </si>
  <si>
    <t>Reembolso</t>
  </si>
  <si>
    <t>Aporte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</si>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</sst>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\ #,##0"/>
    <numFmt numFmtId="165" formatCode="0.0%"/>
    <numFmt numFmtId="166" formatCode="&quot;R$&quot;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F172A"/>
      <name val="Inte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164" fontId="0" fillId="3" borderId="0" xfId="0" applyNumberFormat="1" applyFill="1"/>
    <xf numFmtId="0" fontId="0" fillId="3" borderId="0" xfId="0" applyFill="1"/>
    <xf numFmtId="9" fontId="0" fillId="3" borderId="0" xfId="1" applyFont="1" applyFill="1"/>
    <xf numFmtId="1" fontId="0" fillId="3" borderId="0" xfId="0" applyNumberFormat="1" applyFill="1"/>
    <xf numFmtId="165" fontId="0" fillId="3" borderId="0" xfId="1" applyNumberFormat="1" applyFont="1" applyFill="1"/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21"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4" formatCode="&quot;R$&quot;\ #,##0"/>
    </dxf>
    <dxf>
      <numFmt numFmtId="166" formatCode="&quot;R$&quot;\ #,##0.00"/>
    </dxf>
    <dxf>
      <font>
        <color theme="0" tint="-0.499984740745262"/>
        <name val="Montserrat"/>
      </font>
      <fill>
        <patternFill>
          <bgColor rgb="FF212529"/>
        </patternFill>
      </fill>
    </dxf>
    <dxf>
      <font>
        <sz val="16"/>
        <color theme="0" tint="-0.499984740745262"/>
        <name val="Montserrat"/>
      </font>
      <fill>
        <patternFill>
          <bgColor rgb="FF0D0E25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3" xr9:uid="{9D6E77F0-7495-4895-987F-CB50BBBA5385}">
      <tableStyleElement type="wholeTable" dxfId="120"/>
    </tableStyle>
    <tableStyle name="Estilo de Segmentação de Dados 1 2" pivot="0" table="0" count="3" xr9:uid="{37956643-5780-4011-8011-C4FB5E6874CE}">
      <tableStyleElement type="wholeTable" dxfId="119"/>
    </tableStyle>
  </tableStyles>
  <colors>
    <mruColors>
      <color rgb="FFED8416"/>
      <color rgb="FFCA4CCC"/>
      <color rgb="FF3DAF58"/>
      <color rgb="FFFFCC3E"/>
      <color rgb="FF4946D8"/>
      <color rgb="FF0D0E25"/>
      <color rgb="FF1D1F4F"/>
      <color rgb="FF17193D"/>
      <color rgb="FF6A6CFB"/>
      <color rgb="FF121617"/>
    </mruColors>
  </colors>
  <extLst>
    <ext xmlns:x14="http://schemas.microsoft.com/office/spreadsheetml/2009/9/main" uri="{46F421CA-312F-682f-3DD2-61675219B42D}">
      <x14:dxfs count="4">
        <dxf>
          <font>
            <color theme="0"/>
            <name val="Montserrat"/>
          </font>
          <fill>
            <patternFill>
              <bgColor rgb="FF6A6CFB"/>
            </patternFill>
          </fill>
        </dxf>
        <dxf>
          <font>
            <color theme="0"/>
            <name val="Montserrat"/>
          </font>
          <fill>
            <patternFill>
              <bgColor rgb="FF6A6CFB"/>
            </patternFill>
          </fill>
        </dxf>
        <dxf>
          <font>
            <sz val="16"/>
            <color theme="0"/>
            <name val="Montserrat"/>
          </font>
          <fill>
            <patternFill>
              <bgColor rgb="FF6A6CFB"/>
            </patternFill>
          </fill>
        </dxf>
        <dxf>
          <font>
            <sz val="16"/>
            <color theme="0"/>
            <name val="Montserrat"/>
          </font>
          <fill>
            <patternFill>
              <bgColor rgb="FF6A6CFB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1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 V2 (atualizando).xlsx]Análise Gabarito!mes_tipo_rec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5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Gabarito'!$B$3:$B$4</c:f>
              <c:strCache>
                <c:ptCount val="1"/>
                <c:pt idx="0">
                  <c:v>Salário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'Análise Gabarito'!$A$5:$A$6</c:f>
              <c:strCache>
                <c:ptCount val="2"/>
                <c:pt idx="0">
                  <c:v>jan</c:v>
                </c:pt>
                <c:pt idx="1">
                  <c:v>fev</c:v>
                </c:pt>
              </c:strCache>
            </c:strRef>
          </c:cat>
          <c:val>
            <c:numRef>
              <c:f>'Análise Gabarito'!$B$5:$B$6</c:f>
              <c:numCache>
                <c:formatCode>"R$"\ #,##0</c:formatCode>
                <c:ptCount val="2"/>
                <c:pt idx="0">
                  <c:v>5208.1499999999996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847-4755-9933-49255AA68073}"/>
            </c:ext>
          </c:extLst>
        </c:ser>
        <c:ser>
          <c:idx val="1"/>
          <c:order val="1"/>
          <c:tx>
            <c:strRef>
              <c:f>'Análise Gabarito'!$C$3:$C$4</c:f>
              <c:strCache>
                <c:ptCount val="1"/>
                <c:pt idx="0">
                  <c:v>Outras Receitas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'Análise Gabarito'!$A$5:$A$6</c:f>
              <c:strCache>
                <c:ptCount val="2"/>
                <c:pt idx="0">
                  <c:v>jan</c:v>
                </c:pt>
                <c:pt idx="1">
                  <c:v>fev</c:v>
                </c:pt>
              </c:strCache>
            </c:strRef>
          </c:cat>
          <c:val>
            <c:numRef>
              <c:f>'Análise Gabarito'!$C$5:$C$6</c:f>
              <c:numCache>
                <c:formatCode>"R$"\ #,##0</c:formatCode>
                <c:ptCount val="2"/>
                <c:pt idx="0">
                  <c:v>2022.29</c:v>
                </c:pt>
                <c:pt idx="1">
                  <c:v>3473.1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847-4755-9933-49255AA68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7"/>
        <c:axId val="52229407"/>
        <c:axId val="52243807"/>
      </c:barChart>
      <c:catAx>
        <c:axId val="522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43807"/>
        <c:crosses val="autoZero"/>
        <c:auto val="1"/>
        <c:lblAlgn val="ctr"/>
        <c:lblOffset val="100"/>
        <c:noMultiLvlLbl val="0"/>
      </c:catAx>
      <c:valAx>
        <c:axId val="522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B0C1E"/>
              </a:solidFill>
              <a:round/>
            </a:ln>
            <a:effectLst/>
          </c:spPr>
        </c:majorGridlines>
        <c:numFmt formatCode="&quot;R$&quot;\ 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2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1590071218757778E-2"/>
          <c:y val="3.3881905995051996E-2"/>
          <c:w val="0.33835178068697302"/>
          <c:h val="9.3197790847835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 V2 (atualizando).xlsx]Análise Gabarito!mes_saldo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474FC0"/>
            </a:solidFill>
            <a:round/>
          </a:ln>
          <a:effectLst>
            <a:glow rad="63500">
              <a:srgbClr val="474FC0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rgbClr val="474FC0">
                  <a:alpha val="0"/>
                </a:srgbClr>
              </a:gs>
              <a:gs pos="0">
                <a:srgbClr val="474FC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7094275277520757"/>
          <c:w val="0.99722222222222223"/>
          <c:h val="0.72905724722479248"/>
        </c:manualLayout>
      </c:layout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14610192"/>
        <c:axId val="1314722448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610192"/>
        <c:axId val="1314722448"/>
      </c:lineChart>
      <c:catAx>
        <c:axId val="1314610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4722448"/>
        <c:crosses val="autoZero"/>
        <c:auto val="1"/>
        <c:lblAlgn val="ctr"/>
        <c:lblOffset val="100"/>
        <c:noMultiLvlLbl val="0"/>
      </c:catAx>
      <c:valAx>
        <c:axId val="13147224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31461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 V2 (atualizando).xlsx]Análise Gabarito!mes_despesas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A4CCC"/>
            </a:solidFill>
            <a:round/>
          </a:ln>
          <a:effectLst>
            <a:glow rad="63500">
              <a:srgbClr val="CA4CCC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790570431259097E-3"/>
          <c:y val="0.29999616146643793"/>
          <c:w val="0.99044188591374815"/>
          <c:h val="0.67187919839608357"/>
        </c:manualLayout>
      </c:layout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39746560"/>
        <c:axId val="1439757600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746560"/>
        <c:axId val="1439757600"/>
      </c:lineChart>
      <c:catAx>
        <c:axId val="1439746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9757600"/>
        <c:crosses val="autoZero"/>
        <c:auto val="1"/>
        <c:lblAlgn val="ctr"/>
        <c:lblOffset val="100"/>
        <c:noMultiLvlLbl val="0"/>
      </c:catAx>
      <c:valAx>
        <c:axId val="143975760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43974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 V2 (atualizando).xlsx]Análise Gabarito!mes_rec_desp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474F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3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474FC0"/>
              </a:gs>
              <a:gs pos="24000">
                <a:srgbClr val="474FC0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474FC0"/>
              </a:gs>
              <a:gs pos="24000">
                <a:srgbClr val="474FC0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23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474F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CA4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27000">
                <a:srgbClr val="474FC0">
                  <a:alpha val="0"/>
                </a:srgbClr>
              </a:gs>
              <a:gs pos="0">
                <a:srgbClr val="474FC0"/>
              </a:gs>
            </a:gsLst>
            <a:lin ang="5400000" scaled="1"/>
          </a:gra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28000">
                <a:srgbClr val="CA4CCC">
                  <a:alpha val="0"/>
                </a:srgbClr>
              </a:gs>
              <a:gs pos="0">
                <a:srgbClr val="CA4CCC"/>
              </a:gs>
            </a:gsLst>
            <a:lin ang="5400000" scaled="1"/>
          </a:gra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>
            <a:glow rad="63500">
              <a:srgbClr val="474FC0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noFill/>
          </a:ln>
          <a:effectLst>
            <a:glow rad="63500">
              <a:srgbClr val="CA4CCC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'Análise Gabarito'!$B$21:$B$23</c:f>
              <c:strCache>
                <c:ptCount val="1"/>
                <c:pt idx="0">
                  <c:v>Receita -  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>
              <a:glow rad="63500">
                <a:srgbClr val="474FC0">
                  <a:alpha val="40000"/>
                </a:srgbClr>
              </a:glow>
            </a:effectLst>
          </c:spPr>
          <c:cat>
            <c:strRef>
              <c:f>'Análise Gabarito'!$A$24:$A$25</c:f>
              <c:strCache>
                <c:ptCount val="2"/>
                <c:pt idx="0">
                  <c:v>jan</c:v>
                </c:pt>
                <c:pt idx="1">
                  <c:v>fev</c:v>
                </c:pt>
              </c:strCache>
            </c:strRef>
          </c:cat>
          <c:val>
            <c:numRef>
              <c:f>'Análise Gabarito'!$B$24:$B$25</c:f>
              <c:numCache>
                <c:formatCode>"R$"\ #,##0</c:formatCode>
                <c:ptCount val="2"/>
                <c:pt idx="0">
                  <c:v>7230.44</c:v>
                </c:pt>
                <c:pt idx="1">
                  <c:v>3473.1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5F19-4F30-A802-C154E3F15076}"/>
            </c:ext>
          </c:extLst>
        </c:ser>
        <c:ser>
          <c:idx val="1"/>
          <c:order val="1"/>
          <c:tx>
            <c:strRef>
              <c:f>'Análise Gabarito'!$C$21:$C$23</c:f>
              <c:strCache>
                <c:ptCount val="1"/>
                <c:pt idx="0">
                  <c:v>Receita - Receita Área</c:v>
                </c:pt>
              </c:strCache>
            </c:strRef>
          </c:tx>
          <c:spPr>
            <a:gradFill>
              <a:gsLst>
                <a:gs pos="27000">
                  <a:srgbClr val="474FC0">
                    <a:alpha val="0"/>
                  </a:srgbClr>
                </a:gs>
                <a:gs pos="0">
                  <a:srgbClr val="474FC0"/>
                </a:gs>
              </a:gsLst>
              <a:lin ang="5400000" scaled="1"/>
            </a:gradFill>
            <a:ln w="25400">
              <a:noFill/>
            </a:ln>
            <a:effectLst/>
          </c:spPr>
          <c:cat>
            <c:strRef>
              <c:f>'Análise Gabarito'!$A$24:$A$25</c:f>
              <c:strCache>
                <c:ptCount val="2"/>
                <c:pt idx="0">
                  <c:v>jan</c:v>
                </c:pt>
                <c:pt idx="1">
                  <c:v>fev</c:v>
                </c:pt>
              </c:strCache>
            </c:strRef>
          </c:cat>
          <c:val>
            <c:numRef>
              <c:f>'Análise Gabarito'!$C$24:$C$25</c:f>
              <c:numCache>
                <c:formatCode>"R$"\ #,##0</c:formatCode>
                <c:ptCount val="2"/>
                <c:pt idx="0">
                  <c:v>7230.44</c:v>
                </c:pt>
                <c:pt idx="1">
                  <c:v>3473.1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5F19-4F30-A802-C154E3F15076}"/>
            </c:ext>
          </c:extLst>
        </c:ser>
        <c:ser>
          <c:idx val="2"/>
          <c:order val="2"/>
          <c:tx>
            <c:strRef>
              <c:f>'Análise Gabarito'!$D$21:$D$23</c:f>
              <c:strCache>
                <c:ptCount val="1"/>
                <c:pt idx="0">
                  <c:v>Despesa -  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>
              <a:glow rad="63500">
                <a:srgbClr val="CA4CCC">
                  <a:alpha val="40000"/>
                </a:srgbClr>
              </a:glow>
            </a:effectLst>
          </c:spPr>
          <c:cat>
            <c:strRef>
              <c:f>'Análise Gabarito'!$A$24:$A$25</c:f>
              <c:strCache>
                <c:ptCount val="2"/>
                <c:pt idx="0">
                  <c:v>jan</c:v>
                </c:pt>
                <c:pt idx="1">
                  <c:v>fev</c:v>
                </c:pt>
              </c:strCache>
            </c:strRef>
          </c:cat>
          <c:val>
            <c:numRef>
              <c:f>'Análise Gabarito'!$D$24:$D$25</c:f>
              <c:numCache>
                <c:formatCode>"R$"\ #,##0</c:formatCode>
                <c:ptCount val="2"/>
                <c:pt idx="0">
                  <c:v>3840.52</c:v>
                </c:pt>
                <c:pt idx="1">
                  <c:v>4571.5199999999986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5F19-4F30-A802-C154E3F15076}"/>
            </c:ext>
          </c:extLst>
        </c:ser>
        <c:ser>
          <c:idx val="3"/>
          <c:order val="3"/>
          <c:tx>
            <c:strRef>
              <c:f>'Análise Gabarito'!$E$21:$E$23</c:f>
              <c:strCache>
                <c:ptCount val="1"/>
                <c:pt idx="0">
                  <c:v>Despesa - Receita Área</c:v>
                </c:pt>
              </c:strCache>
            </c:strRef>
          </c:tx>
          <c:spPr>
            <a:gradFill>
              <a:gsLst>
                <a:gs pos="28000">
                  <a:srgbClr val="CA4CCC">
                    <a:alpha val="0"/>
                  </a:srgbClr>
                </a:gs>
                <a:gs pos="0">
                  <a:srgbClr val="CA4CCC"/>
                </a:gs>
              </a:gsLst>
              <a:lin ang="5400000" scaled="1"/>
            </a:gradFill>
            <a:ln w="25400">
              <a:noFill/>
            </a:ln>
            <a:effectLst/>
          </c:spPr>
          <c:cat>
            <c:strRef>
              <c:f>'Análise Gabarito'!$A$24:$A$25</c:f>
              <c:strCache>
                <c:ptCount val="2"/>
                <c:pt idx="0">
                  <c:v>jan</c:v>
                </c:pt>
                <c:pt idx="1">
                  <c:v>fev</c:v>
                </c:pt>
              </c:strCache>
            </c:strRef>
          </c:cat>
          <c:val>
            <c:numRef>
              <c:f>'Análise Gabarito'!$E$24:$E$25</c:f>
              <c:numCache>
                <c:formatCode>"R$"\ #,##0</c:formatCode>
                <c:ptCount val="2"/>
                <c:pt idx="0">
                  <c:v>3840.52</c:v>
                </c:pt>
                <c:pt idx="1">
                  <c:v>4571.5199999999986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5F19-4F30-A802-C154E3F15076}"/>
            </c:ext>
          </c:extLst>
        </c:ser>
        <c:ser>
          <c:idx val="4"/>
          <c:order val="4"/>
          <c:tx>
            <c:strRef>
              <c:f>'Análise Gabarito'!$F$21:$F$23</c:f>
              <c:strCache>
                <c:ptCount val="1"/>
                <c:pt idx="0">
                  <c:v>Aporte -  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'Análise Gabarito'!$A$24:$A$25</c:f>
              <c:strCache>
                <c:ptCount val="2"/>
                <c:pt idx="0">
                  <c:v>jan</c:v>
                </c:pt>
                <c:pt idx="1">
                  <c:v>fev</c:v>
                </c:pt>
              </c:strCache>
            </c:strRef>
          </c:cat>
          <c:val>
            <c:numRef>
              <c:f>'Análise Gabarito'!$F$24:$F$25</c:f>
              <c:numCache>
                <c:formatCode>"R$"\ #,##0</c:formatCode>
                <c:ptCount val="2"/>
                <c:pt idx="0">
                  <c:v>2619.8500000000004</c:v>
                </c:pt>
                <c:pt idx="1">
                  <c:v>2860.0400000000009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5F19-4F30-A802-C154E3F15076}"/>
            </c:ext>
          </c:extLst>
        </c:ser>
        <c:ser>
          <c:idx val="5"/>
          <c:order val="5"/>
          <c:tx>
            <c:strRef>
              <c:f>'Análise Gabarito'!$G$21:$G$23</c:f>
              <c:strCache>
                <c:ptCount val="1"/>
                <c:pt idx="0">
                  <c:v>Aporte - Receita Área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'Análise Gabarito'!$A$24:$A$25</c:f>
              <c:strCache>
                <c:ptCount val="2"/>
                <c:pt idx="0">
                  <c:v>jan</c:v>
                </c:pt>
                <c:pt idx="1">
                  <c:v>fev</c:v>
                </c:pt>
              </c:strCache>
            </c:strRef>
          </c:cat>
          <c:val>
            <c:numRef>
              <c:f>'Análise Gabarito'!$G$24:$G$25</c:f>
              <c:numCache>
                <c:formatCode>"R$"\ #,##0</c:formatCode>
                <c:ptCount val="2"/>
                <c:pt idx="0">
                  <c:v>2619.8500000000004</c:v>
                </c:pt>
                <c:pt idx="1">
                  <c:v>2860.0400000000009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F19-4F30-A802-C154E3F1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98160"/>
        <c:axId val="1518399120"/>
      </c:areaChart>
      <c:catAx>
        <c:axId val="151839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18399120"/>
        <c:crosses val="autoZero"/>
        <c:auto val="1"/>
        <c:lblAlgn val="ctr"/>
        <c:lblOffset val="100"/>
        <c:noMultiLvlLbl val="0"/>
      </c:catAx>
      <c:valAx>
        <c:axId val="1518399120"/>
        <c:scaling>
          <c:orientation val="minMax"/>
        </c:scaling>
        <c:delete val="0"/>
        <c:axPos val="l"/>
        <c:numFmt formatCode="&quot;R$&quot;\ #0,\k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1839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4914488749107986E-2"/>
          <c:y val="2.8692615334146968E-2"/>
          <c:w val="0.9601077104952056"/>
          <c:h val="9.990844167734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 V2 (atualizando).xlsx]Análise Gabarito!desp_por_categoria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449402212281791"/>
          <c:y val="5.7459185264125107E-2"/>
          <c:w val="0.57429989828533234"/>
          <c:h val="0.88508162947174973"/>
        </c:manualLayout>
      </c:layout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24059712"/>
        <c:axId val="1524058752"/>
      </c:barChart>
      <c:catAx>
        <c:axId val="152405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24058752"/>
        <c:crosses val="autoZero"/>
        <c:auto val="1"/>
        <c:lblAlgn val="ctr"/>
        <c:lblOffset val="100"/>
        <c:noMultiLvlLbl val="0"/>
      </c:catAx>
      <c:valAx>
        <c:axId val="1524058752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52405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CC3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F9F-4814-9E6A-7E5A6C17284B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F9F-4814-9E6A-7E5A6C17284B}"/>
              </c:ext>
            </c:extLst>
          </c:dPt>
          <c:val>
            <c:numRef>
              <c:f>'Análise Gabarito'!$AB$22:$AC$22</c:f>
              <c:numCache>
                <c:formatCode>0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9F-4814-9E6A-7E5A6C17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F47-41BE-9CFB-7BCB65126884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F47-41BE-9CFB-7BCB65126884}"/>
              </c:ext>
            </c:extLst>
          </c:dPt>
          <c:val>
            <c:numRef>
              <c:f>'Análise Gabarito'!$AB$23:$AC$23</c:f>
              <c:numCache>
                <c:formatCode>0</c:formatCode>
                <c:ptCount val="2"/>
                <c:pt idx="0">
                  <c:v>45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F47-41BE-9CFB-7BCB65126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6666666666668E-3"/>
          <c:y val="0.14480808389694927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3DAF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99B-431A-95BA-8F6D3DFA6878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9B-431A-95BA-8F6D3DFA6878}"/>
              </c:ext>
            </c:extLst>
          </c:dPt>
          <c:val>
            <c:numRef>
              <c:f>'Análise Gabarito'!$AB$24:$AC$24</c:f>
              <c:numCache>
                <c:formatCode>0</c:formatCode>
                <c:ptCount val="2"/>
                <c:pt idx="0">
                  <c:v>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9B-431A-95BA-8F6D3DFA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2D3-4EAA-A18C-7D5F85E18F18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2D3-4EAA-A18C-7D5F85E18F18}"/>
              </c:ext>
            </c:extLst>
          </c:dPt>
          <c:val>
            <c:numRef>
              <c:f>'Análise Gabarito'!$AB$25:$AC$25</c:f>
              <c:numCache>
                <c:formatCode>0</c:formatCode>
                <c:ptCount val="2"/>
                <c:pt idx="0">
                  <c:v>0.1</c:v>
                </c:pt>
                <c:pt idx="1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2D3-4EAA-A18C-7D5F85E18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6666666666668E-3"/>
          <c:y val="0.14480808389694927"/>
          <c:w val="0.99116622288373535"/>
          <c:h val="1"/>
        </c:manualLayout>
      </c:layout>
      <c:doughnutChart>
        <c:varyColors val="1"/>
        <c:ser>
          <c:idx val="1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ED841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2-5C8D-44E7-A605-1960230929AC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3-5C8D-44E7-A605-1960230929AC}"/>
              </c:ext>
            </c:extLst>
          </c:dPt>
          <c:val>
            <c:numRef>
              <c:f>'Análise Gabarito'!$AB$26:$AC$26</c:f>
              <c:numCache>
                <c:formatCode>0</c:formatCode>
                <c:ptCount val="2"/>
                <c:pt idx="0">
                  <c:v>0.1</c:v>
                </c:pt>
                <c:pt idx="1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5C8D-44E7-A605-1960230929AC}"/>
            </c:ext>
          </c:extLst>
        </c:ser>
        <c:ser>
          <c:idx val="0"/>
          <c:order val="1"/>
          <c:spPr>
            <a:ln>
              <a:noFill/>
            </a:ln>
          </c:spPr>
          <c:dPt>
            <c:idx val="0"/>
            <c:bubble3D val="0"/>
            <c:spPr>
              <a:solidFill>
                <a:srgbClr val="ED841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5C8D-44E7-A605-1960230929AC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5C8D-44E7-A605-1960230929AC}"/>
              </c:ext>
            </c:extLst>
          </c:dPt>
          <c:val>
            <c:numRef>
              <c:f>'Análise Gabarito'!$AB$26:$AC$26</c:f>
              <c:numCache>
                <c:formatCode>0</c:formatCode>
                <c:ptCount val="2"/>
                <c:pt idx="0">
                  <c:v>0.1</c:v>
                </c:pt>
                <c:pt idx="1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5C8D-44E7-A605-196023092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4946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F87-4069-933C-1D320A493911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F87-4069-933C-1D320A493911}"/>
              </c:ext>
            </c:extLst>
          </c:dPt>
          <c:val>
            <c:numRef>
              <c:f>'Análise Gabarito'!$AB$21:$AC$21</c:f>
              <c:numCache>
                <c:formatCode>0</c:formatCode>
                <c:ptCount val="2"/>
                <c:pt idx="0">
                  <c:v>72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87-4069-933C-1D320A49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 V2 (atualizando).xlsx]Análise Gabarito!despesas_ano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946D8"/>
          </a:solidFill>
          <a:ln w="19050">
            <a:noFill/>
          </a:ln>
          <a:effectLst/>
        </c:spPr>
      </c:pivotFmt>
      <c:pivotFmt>
        <c:idx val="10"/>
        <c:spPr>
          <a:solidFill>
            <a:srgbClr val="FFCC3E"/>
          </a:solidFill>
          <a:ln w="19050">
            <a:noFill/>
          </a:ln>
          <a:effectLst/>
        </c:spPr>
      </c:pivotFmt>
      <c:pivotFmt>
        <c:idx val="11"/>
        <c:spPr>
          <a:solidFill>
            <a:srgbClr val="CA4CCC"/>
          </a:solidFill>
          <a:ln w="19050">
            <a:noFill/>
          </a:ln>
          <a:effectLst/>
        </c:spPr>
      </c:pivotFmt>
      <c:pivotFmt>
        <c:idx val="12"/>
        <c:spPr>
          <a:solidFill>
            <a:srgbClr val="3DAF58"/>
          </a:solidFill>
          <a:ln w="19050">
            <a:noFill/>
          </a:ln>
          <a:effectLst/>
        </c:spPr>
      </c:pivotFmt>
      <c:pivotFmt>
        <c:idx val="13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rgbClr val="ED8416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'Análise Gabarito'!$S$20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D8416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</c:dPt>
          <c:cat>
            <c:strRef>
              <c:f>'Análise Gabarito'!$R$21:$R$28</c:f>
              <c:strCache>
                <c:ptCount val="8"/>
                <c:pt idx="0">
                  <c:v>Lazer</c:v>
                </c:pt>
                <c:pt idx="1">
                  <c:v>Alimentação</c:v>
                </c:pt>
                <c:pt idx="2">
                  <c:v>Transporte</c:v>
                </c:pt>
                <c:pt idx="3">
                  <c:v>Vestuário &amp; Acessórios</c:v>
                </c:pt>
                <c:pt idx="4">
                  <c:v>Assinatura</c:v>
                </c:pt>
                <c:pt idx="5">
                  <c:v>Cartão</c:v>
                </c:pt>
                <c:pt idx="6">
                  <c:v>Desenvolvimento</c:v>
                </c:pt>
                <c:pt idx="7">
                  <c:v>Cuidados Pessoais</c:v>
                </c:pt>
              </c:strCache>
            </c:strRef>
          </c:cat>
          <c:val>
            <c:numRef>
              <c:f>'Análise Gabarito'!$S$21:$S$28</c:f>
              <c:numCache>
                <c:formatCode>"R$"\ #,##0</c:formatCode>
                <c:ptCount val="8"/>
                <c:pt idx="0">
                  <c:v>4131.2000000000007</c:v>
                </c:pt>
                <c:pt idx="1">
                  <c:v>2546.5200000000004</c:v>
                </c:pt>
                <c:pt idx="2">
                  <c:v>584.99</c:v>
                </c:pt>
                <c:pt idx="3">
                  <c:v>442.58</c:v>
                </c:pt>
                <c:pt idx="4">
                  <c:v>359.79999999999995</c:v>
                </c:pt>
                <c:pt idx="5">
                  <c:v>206.95999999999998</c:v>
                </c:pt>
                <c:pt idx="6">
                  <c:v>120</c:v>
                </c:pt>
                <c:pt idx="7">
                  <c:v>19.989999999999998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95A-4C59-8F10-B61ADCAF1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 OG V2 (atualizando).xlsx]Análise Gabarito!despesas_anomes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946D8"/>
          </a:solidFill>
          <a:ln w="19050">
            <a:noFill/>
          </a:ln>
          <a:effectLst/>
        </c:spPr>
      </c:pivotFmt>
      <c:pivotFmt>
        <c:idx val="10"/>
        <c:spPr>
          <a:solidFill>
            <a:srgbClr val="CA4CCC"/>
          </a:solidFill>
          <a:ln w="19050">
            <a:noFill/>
          </a:ln>
          <a:effectLst/>
        </c:spPr>
      </c:pivotFmt>
      <c:pivotFmt>
        <c:idx val="11"/>
        <c:spPr>
          <a:solidFill>
            <a:srgbClr val="FFCC3E"/>
          </a:solidFill>
          <a:ln w="19050">
            <a:noFill/>
          </a:ln>
          <a:effectLst/>
        </c:spPr>
      </c:pivotFmt>
      <c:pivotFmt>
        <c:idx val="12"/>
        <c:spPr>
          <a:solidFill>
            <a:srgbClr val="3DAF58"/>
          </a:solidFill>
          <a:ln w="19050">
            <a:noFill/>
          </a:ln>
          <a:effectLst/>
        </c:spPr>
      </c:pivotFmt>
      <c:pivotFmt>
        <c:idx val="13"/>
        <c:spPr>
          <a:solidFill>
            <a:schemeClr val="bg2">
              <a:lumMod val="75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rgbClr val="ED8416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'Análise Gabarito'!$V$20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D8416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CA4CCC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</c:dPt>
          <c:cat>
            <c:strRef>
              <c:f>'Análise Gabarito'!$U$21:$U$27</c:f>
              <c:strCache>
                <c:ptCount val="7"/>
                <c:pt idx="0">
                  <c:v>Lazer</c:v>
                </c:pt>
                <c:pt idx="1">
                  <c:v>Alimentação</c:v>
                </c:pt>
                <c:pt idx="2">
                  <c:v>Transporte</c:v>
                </c:pt>
                <c:pt idx="3">
                  <c:v>Assinatura</c:v>
                </c:pt>
                <c:pt idx="4">
                  <c:v>Cartão</c:v>
                </c:pt>
                <c:pt idx="5">
                  <c:v>Vestuário &amp; Acessórios</c:v>
                </c:pt>
                <c:pt idx="6">
                  <c:v>Cuidados Pessoais</c:v>
                </c:pt>
              </c:strCache>
            </c:strRef>
          </c:cat>
          <c:val>
            <c:numRef>
              <c:f>'Análise Gabarito'!$V$21:$V$27</c:f>
              <c:numCache>
                <c:formatCode>"R$"\ #,##0</c:formatCode>
                <c:ptCount val="7"/>
                <c:pt idx="0">
                  <c:v>2980.0200000000004</c:v>
                </c:pt>
                <c:pt idx="1">
                  <c:v>1007.27</c:v>
                </c:pt>
                <c:pt idx="2">
                  <c:v>260.87</c:v>
                </c:pt>
                <c:pt idx="3">
                  <c:v>179.9</c:v>
                </c:pt>
                <c:pt idx="4">
                  <c:v>103.47999999999999</c:v>
                </c:pt>
                <c:pt idx="5">
                  <c:v>19.989999999999998</c:v>
                </c:pt>
                <c:pt idx="6">
                  <c:v>19.989999999999998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7E7-46DF-876C-B98F814D6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6666666666668E-3"/>
          <c:y val="0.14480808389694927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3DAF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FE-4356-A78C-E67F36862E10}"/>
              </c:ext>
            </c:extLst>
          </c:dPt>
          <c:dPt>
            <c:idx val="1"/>
            <c:bubble3D val="0"/>
            <c:explosion val="1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FE-4356-A78C-E67F36862E10}"/>
              </c:ext>
            </c:extLst>
          </c:dPt>
          <c:val>
            <c:numRef>
              <c:f>'Análise Gabarito'!$AB$27:$AC$27</c:f>
              <c:numCache>
                <c:formatCode>0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FE-4356-A78C-E67F36862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1-433E-A6C6-B533A4F5ACED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1-433E-A6C6-B533A4F5ACED}"/>
              </c:ext>
            </c:extLst>
          </c:dPt>
          <c:val>
            <c:numRef>
              <c:f>'Análise Gabarito'!$AB$28:$AC$28</c:f>
              <c:numCache>
                <c:formatCode>0</c:formatCode>
                <c:ptCount val="2"/>
                <c:pt idx="0">
                  <c:v>0.1</c:v>
                </c:pt>
                <c:pt idx="1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41-433E-A6C6-B533A4F5A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6666666666668E-3"/>
          <c:y val="0.14480808389694927"/>
          <c:w val="0.99116622288373535"/>
          <c:h val="1"/>
        </c:manualLayout>
      </c:layout>
      <c:doughnutChart>
        <c:varyColors val="1"/>
        <c:ser>
          <c:idx val="8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9-C6F0-4392-87A8-FC6647AE8756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A-C6F0-4392-87A8-FC6647AE8756}"/>
              </c:ext>
            </c:extLst>
          </c:dPt>
          <c:val>
            <c:numRef>
              <c:f>'Análise Gabarito'!$AB$29:$AC$29</c:f>
              <c:numCache>
                <c:formatCode>0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C6F0-4392-87A8-FC6647AE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885581323423E-3"/>
          <c:y val="0"/>
          <c:w val="0.99116622288373535"/>
          <c:h val="1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77-4C21-BE7E-70111AB92C88}"/>
              </c:ext>
            </c:extLst>
          </c:dPt>
          <c:dPt>
            <c:idx val="1"/>
            <c:bubble3D val="0"/>
            <c:spPr>
              <a:solidFill>
                <a:srgbClr val="12161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77-4C21-BE7E-70111AB92C88}"/>
              </c:ext>
            </c:extLst>
          </c:dPt>
          <c:val>
            <c:numRef>
              <c:f>'Análise Gabarito'!$AB$30:$AC$30</c:f>
              <c:numCache>
                <c:formatCode>0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77-4C21-BE7E-70111AB92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6.svg"/><Relationship Id="rId18" Type="http://schemas.openxmlformats.org/officeDocument/2006/relationships/chart" Target="../charts/chart16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5.png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10.xml"/><Relationship Id="rId19" Type="http://schemas.openxmlformats.org/officeDocument/2006/relationships/chart" Target="../charts/chart17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81120</xdr:colOff>
      <xdr:row>0</xdr:row>
      <xdr:rowOff>32712</xdr:rowOff>
    </xdr:from>
    <xdr:to>
      <xdr:col>45</xdr:col>
      <xdr:colOff>369704</xdr:colOff>
      <xdr:row>42</xdr:row>
      <xdr:rowOff>70812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DABEFA3-B4B8-66DF-480A-076A077A6F86}"/>
            </a:ext>
          </a:extLst>
        </xdr:cNvPr>
        <xdr:cNvSpPr/>
      </xdr:nvSpPr>
      <xdr:spPr>
        <a:xfrm>
          <a:off x="81120" y="32712"/>
          <a:ext cx="27739848" cy="8128999"/>
        </a:xfrm>
        <a:prstGeom prst="rect">
          <a:avLst/>
        </a:prstGeom>
        <a:solidFill>
          <a:srgbClr val="1216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249382</xdr:colOff>
      <xdr:row>42</xdr:row>
      <xdr:rowOff>38618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1E96A57-58FB-3C23-156F-44CC674BF063}"/>
            </a:ext>
          </a:extLst>
        </xdr:cNvPr>
        <xdr:cNvSpPr/>
      </xdr:nvSpPr>
      <xdr:spPr>
        <a:xfrm>
          <a:off x="0" y="0"/>
          <a:ext cx="2687782" cy="8039618"/>
        </a:xfrm>
        <a:prstGeom prst="rect">
          <a:avLst/>
        </a:prstGeom>
        <a:solidFill>
          <a:srgbClr val="0D0E2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558883</xdr:colOff>
      <xdr:row>2</xdr:row>
      <xdr:rowOff>59871</xdr:rowOff>
    </xdr:from>
    <xdr:to>
      <xdr:col>9</xdr:col>
      <xdr:colOff>138883</xdr:colOff>
      <xdr:row>8</xdr:row>
      <xdr:rowOff>157842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66C593B-610E-A348-6700-AA77B03435E6}"/>
            </a:ext>
          </a:extLst>
        </xdr:cNvPr>
        <xdr:cNvSpPr/>
      </xdr:nvSpPr>
      <xdr:spPr>
        <a:xfrm>
          <a:off x="2997283" y="427733"/>
          <a:ext cx="2628000" cy="1201557"/>
        </a:xfrm>
        <a:prstGeom prst="roundRect">
          <a:avLst>
            <a:gd name="adj" fmla="val 8480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350815</xdr:colOff>
      <xdr:row>2</xdr:row>
      <xdr:rowOff>59871</xdr:rowOff>
    </xdr:from>
    <xdr:to>
      <xdr:col>13</xdr:col>
      <xdr:colOff>540415</xdr:colOff>
      <xdr:row>8</xdr:row>
      <xdr:rowOff>157842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E439CE80-BCAC-4084-8B09-532CF8C6ED15}"/>
            </a:ext>
          </a:extLst>
        </xdr:cNvPr>
        <xdr:cNvSpPr/>
      </xdr:nvSpPr>
      <xdr:spPr>
        <a:xfrm>
          <a:off x="5875315" y="440871"/>
          <a:ext cx="2644933" cy="1240971"/>
        </a:xfrm>
        <a:prstGeom prst="roundRect">
          <a:avLst>
            <a:gd name="adj" fmla="val 9670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142747</xdr:colOff>
      <xdr:row>2</xdr:row>
      <xdr:rowOff>59870</xdr:rowOff>
    </xdr:from>
    <xdr:to>
      <xdr:col>18</xdr:col>
      <xdr:colOff>332347</xdr:colOff>
      <xdr:row>14</xdr:row>
      <xdr:rowOff>310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67F167F8-3394-41D9-B806-2A6B469DDD97}"/>
            </a:ext>
          </a:extLst>
        </xdr:cNvPr>
        <xdr:cNvSpPr/>
      </xdr:nvSpPr>
      <xdr:spPr>
        <a:xfrm>
          <a:off x="8677147" y="427732"/>
          <a:ext cx="2628000" cy="2147612"/>
        </a:xfrm>
        <a:prstGeom prst="roundRect">
          <a:avLst>
            <a:gd name="adj" fmla="val 5656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544280</xdr:colOff>
      <xdr:row>2</xdr:row>
      <xdr:rowOff>59870</xdr:rowOff>
    </xdr:from>
    <xdr:to>
      <xdr:col>23</xdr:col>
      <xdr:colOff>124280</xdr:colOff>
      <xdr:row>14</xdr:row>
      <xdr:rowOff>310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5514151-AA88-4490-8772-98736D05C402}"/>
            </a:ext>
          </a:extLst>
        </xdr:cNvPr>
        <xdr:cNvSpPr/>
      </xdr:nvSpPr>
      <xdr:spPr>
        <a:xfrm>
          <a:off x="11517080" y="427732"/>
          <a:ext cx="2628000" cy="2147612"/>
        </a:xfrm>
        <a:prstGeom prst="roundRect">
          <a:avLst>
            <a:gd name="adj" fmla="val 5655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566321</xdr:colOff>
      <xdr:row>10</xdr:row>
      <xdr:rowOff>3840</xdr:rowOff>
    </xdr:from>
    <xdr:to>
      <xdr:col>13</xdr:col>
      <xdr:colOff>539930</xdr:colOff>
      <xdr:row>24</xdr:row>
      <xdr:rowOff>13722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B39D3FC-67B7-449C-A0EB-BB16A81DF59B}"/>
            </a:ext>
          </a:extLst>
        </xdr:cNvPr>
        <xdr:cNvSpPr/>
      </xdr:nvSpPr>
      <xdr:spPr>
        <a:xfrm>
          <a:off x="3004721" y="1854411"/>
          <a:ext cx="5460009" cy="2600682"/>
        </a:xfrm>
        <a:prstGeom prst="roundRect">
          <a:avLst>
            <a:gd name="adj" fmla="val 6621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338667</xdr:colOff>
      <xdr:row>14</xdr:row>
      <xdr:rowOff>180304</xdr:rowOff>
    </xdr:from>
    <xdr:to>
      <xdr:col>33</xdr:col>
      <xdr:colOff>127598</xdr:colOff>
      <xdr:row>39</xdr:row>
      <xdr:rowOff>63499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759C04D9-7801-4684-919E-4EB755873171}"/>
            </a:ext>
          </a:extLst>
        </xdr:cNvPr>
        <xdr:cNvSpPr/>
      </xdr:nvSpPr>
      <xdr:spPr>
        <a:xfrm>
          <a:off x="14456834" y="2847304"/>
          <a:ext cx="5927264" cy="4645695"/>
        </a:xfrm>
        <a:prstGeom prst="roundRect">
          <a:avLst>
            <a:gd name="adj" fmla="val 5366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145514</xdr:colOff>
      <xdr:row>15</xdr:row>
      <xdr:rowOff>10583</xdr:rowOff>
    </xdr:from>
    <xdr:to>
      <xdr:col>23</xdr:col>
      <xdr:colOff>137584</xdr:colOff>
      <xdr:row>39</xdr:row>
      <xdr:rowOff>57585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B5608F4A-E410-4E73-94F0-FB82B9551E12}"/>
            </a:ext>
          </a:extLst>
        </xdr:cNvPr>
        <xdr:cNvSpPr/>
      </xdr:nvSpPr>
      <xdr:spPr>
        <a:xfrm>
          <a:off x="8739181" y="2868083"/>
          <a:ext cx="5516570" cy="4619002"/>
        </a:xfrm>
        <a:prstGeom prst="roundRect">
          <a:avLst>
            <a:gd name="adj" fmla="val 7112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317500</xdr:colOff>
      <xdr:row>2</xdr:row>
      <xdr:rowOff>74991</xdr:rowOff>
    </xdr:from>
    <xdr:to>
      <xdr:col>38</xdr:col>
      <xdr:colOff>503006</xdr:colOff>
      <xdr:row>14</xdr:row>
      <xdr:rowOff>21167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7FB4333F-6A51-4F37-B211-895B1376F7A9}"/>
            </a:ext>
          </a:extLst>
        </xdr:cNvPr>
        <xdr:cNvSpPr/>
      </xdr:nvSpPr>
      <xdr:spPr>
        <a:xfrm>
          <a:off x="14348146" y="460272"/>
          <a:ext cx="9335927" cy="2257861"/>
        </a:xfrm>
        <a:prstGeom prst="roundRect">
          <a:avLst>
            <a:gd name="adj" fmla="val 8982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566320</xdr:colOff>
      <xdr:row>11</xdr:row>
      <xdr:rowOff>144780</xdr:rowOff>
    </xdr:from>
    <xdr:to>
      <xdr:col>13</xdr:col>
      <xdr:colOff>533399</xdr:colOff>
      <xdr:row>23</xdr:row>
      <xdr:rowOff>130628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3DD96D69-2D37-4965-AB74-34134D73E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10</xdr:row>
      <xdr:rowOff>83820</xdr:rowOff>
    </xdr:from>
    <xdr:to>
      <xdr:col>8</xdr:col>
      <xdr:colOff>30480</xdr:colOff>
      <xdr:row>11</xdr:row>
      <xdr:rowOff>152400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E356E992-1251-43DC-2672-859586184556}"/>
            </a:ext>
          </a:extLst>
        </xdr:cNvPr>
        <xdr:cNvSpPr txBox="1"/>
      </xdr:nvSpPr>
      <xdr:spPr>
        <a:xfrm>
          <a:off x="3086100" y="191262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Análise Mensal</a:t>
          </a:r>
        </a:p>
      </xdr:txBody>
    </xdr:sp>
    <xdr:clientData/>
  </xdr:twoCellAnchor>
  <xdr:twoCellAnchor>
    <xdr:from>
      <xdr:col>4</xdr:col>
      <xdr:colOff>584945</xdr:colOff>
      <xdr:row>2</xdr:row>
      <xdr:rowOff>99955</xdr:rowOff>
    </xdr:from>
    <xdr:to>
      <xdr:col>7</xdr:col>
      <xdr:colOff>577325</xdr:colOff>
      <xdr:row>3</xdr:row>
      <xdr:rowOff>164949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C32EFD5A-98C9-4E86-B9D3-5530272D4F82}"/>
            </a:ext>
          </a:extLst>
        </xdr:cNvPr>
        <xdr:cNvSpPr txBox="1"/>
      </xdr:nvSpPr>
      <xdr:spPr>
        <a:xfrm>
          <a:off x="3023345" y="458543"/>
          <a:ext cx="1821180" cy="244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Saldo do mês</a:t>
          </a:r>
        </a:p>
      </xdr:txBody>
    </xdr:sp>
    <xdr:clientData/>
  </xdr:twoCellAnchor>
  <xdr:twoCellAnchor>
    <xdr:from>
      <xdr:col>9</xdr:col>
      <xdr:colOff>432545</xdr:colOff>
      <xdr:row>2</xdr:row>
      <xdr:rowOff>99955</xdr:rowOff>
    </xdr:from>
    <xdr:to>
      <xdr:col>12</xdr:col>
      <xdr:colOff>424925</xdr:colOff>
      <xdr:row>3</xdr:row>
      <xdr:rowOff>164949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7BC835C-A293-4152-A80F-E58DB8BD97E3}"/>
            </a:ext>
          </a:extLst>
        </xdr:cNvPr>
        <xdr:cNvSpPr txBox="1"/>
      </xdr:nvSpPr>
      <xdr:spPr>
        <a:xfrm>
          <a:off x="5918945" y="458543"/>
          <a:ext cx="1821180" cy="244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do mês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495300</xdr:colOff>
      <xdr:row>4</xdr:row>
      <xdr:rowOff>175260</xdr:rowOff>
    </xdr:from>
    <xdr:to>
      <xdr:col>12</xdr:col>
      <xdr:colOff>487680</xdr:colOff>
      <xdr:row>6</xdr:row>
      <xdr:rowOff>60960</xdr:rowOff>
    </xdr:to>
    <xdr:sp macro="" textlink="'Análise Gabarito'!H5">
      <xdr:nvSpPr>
        <xdr:cNvPr id="37" name="CaixaDeTexto 36">
          <a:extLst>
            <a:ext uri="{FF2B5EF4-FFF2-40B4-BE49-F238E27FC236}">
              <a16:creationId xmlns:a16="http://schemas.microsoft.com/office/drawing/2014/main" id="{7E86BA3A-3F73-4E63-80D3-83B8AAE88D1B}"/>
            </a:ext>
          </a:extLst>
        </xdr:cNvPr>
        <xdr:cNvSpPr txBox="1"/>
      </xdr:nvSpPr>
      <xdr:spPr>
        <a:xfrm>
          <a:off x="5981700" y="90678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FDBE8C8-780A-4D4A-BA7B-DD0244852930}" type="TxLink">
            <a:rPr lang="en-US" sz="1400" b="1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R$ 4.572</a:t>
          </a:fld>
          <a:endParaRPr lang="pt-BR" sz="1800" b="1">
            <a:solidFill>
              <a:schemeClr val="bg1">
                <a:lumMod val="8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5</xdr:col>
      <xdr:colOff>30480</xdr:colOff>
      <xdr:row>4</xdr:row>
      <xdr:rowOff>175260</xdr:rowOff>
    </xdr:from>
    <xdr:to>
      <xdr:col>8</xdr:col>
      <xdr:colOff>22860</xdr:colOff>
      <xdr:row>6</xdr:row>
      <xdr:rowOff>60960</xdr:rowOff>
    </xdr:to>
    <xdr:sp macro="" textlink="'Análise Gabarito'!H7">
      <xdr:nvSpPr>
        <xdr:cNvPr id="38" name="CaixaDeTexto 37">
          <a:extLst>
            <a:ext uri="{FF2B5EF4-FFF2-40B4-BE49-F238E27FC236}">
              <a16:creationId xmlns:a16="http://schemas.microsoft.com/office/drawing/2014/main" id="{E516258C-45C4-49F4-AD41-032807E245C3}"/>
            </a:ext>
          </a:extLst>
        </xdr:cNvPr>
        <xdr:cNvSpPr txBox="1"/>
      </xdr:nvSpPr>
      <xdr:spPr>
        <a:xfrm>
          <a:off x="3078480" y="906780"/>
          <a:ext cx="18211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916539B-1E8B-4268-8935-A473F21EDEFC}" type="TxLink">
            <a:rPr lang="en-US" sz="1400" b="1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/>
            <a:t>-R$ 1.098</a:t>
          </a:fld>
          <a:endParaRPr lang="pt-BR" sz="1400" b="1" i="0" u="none" strike="noStrike">
            <a:solidFill>
              <a:schemeClr val="bg1">
                <a:lumMod val="85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419100</xdr:colOff>
      <xdr:row>8</xdr:row>
      <xdr:rowOff>10703</xdr:rowOff>
    </xdr:from>
    <xdr:to>
      <xdr:col>3</xdr:col>
      <xdr:colOff>419100</xdr:colOff>
      <xdr:row>15</xdr:row>
      <xdr:rowOff>126852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Ano">
              <a:extLst>
                <a:ext uri="{FF2B5EF4-FFF2-40B4-BE49-F238E27FC236}">
                  <a16:creationId xmlns:a16="http://schemas.microsoft.com/office/drawing/2014/main" id="{B313F50F-0898-4E04-B3B5-3671FB61D7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" y="1879453"/>
              <a:ext cx="1828800" cy="9905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393551</xdr:colOff>
      <xdr:row>17</xdr:row>
      <xdr:rowOff>71719</xdr:rowOff>
    </xdr:from>
    <xdr:to>
      <xdr:col>3</xdr:col>
      <xdr:colOff>393551</xdr:colOff>
      <xdr:row>35</xdr:row>
      <xdr:rowOff>147919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Mês_extenso">
              <a:extLst>
                <a:ext uri="{FF2B5EF4-FFF2-40B4-BE49-F238E27FC236}">
                  <a16:creationId xmlns:a16="http://schemas.microsoft.com/office/drawing/2014/main" id="{58E56E12-3777-45F8-934E-F15CB361BD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_exten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551" y="3180679"/>
              <a:ext cx="1828800" cy="3368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19</xdr:col>
      <xdr:colOff>36304</xdr:colOff>
      <xdr:row>2</xdr:row>
      <xdr:rowOff>73284</xdr:rowOff>
    </xdr:from>
    <xdr:to>
      <xdr:col>23</xdr:col>
      <xdr:colOff>91439</xdr:colOff>
      <xdr:row>3</xdr:row>
      <xdr:rowOff>171449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DF4072E6-8CD1-4159-BCB1-3707660464EA}"/>
            </a:ext>
          </a:extLst>
        </xdr:cNvPr>
        <xdr:cNvSpPr txBox="1"/>
      </xdr:nvSpPr>
      <xdr:spPr>
        <a:xfrm>
          <a:off x="11618704" y="439044"/>
          <a:ext cx="2493535" cy="28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 no Ano</a:t>
          </a:r>
        </a:p>
      </xdr:txBody>
    </xdr:sp>
    <xdr:clientData/>
  </xdr:twoCellAnchor>
  <xdr:twoCellAnchor>
    <xdr:from>
      <xdr:col>6</xdr:col>
      <xdr:colOff>383623</xdr:colOff>
      <xdr:row>2</xdr:row>
      <xdr:rowOff>15241</xdr:rowOff>
    </xdr:from>
    <xdr:to>
      <xdr:col>9</xdr:col>
      <xdr:colOff>212035</xdr:colOff>
      <xdr:row>8</xdr:row>
      <xdr:rowOff>167640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72A824E-A3B0-4F8F-8F84-87436A402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278295</xdr:colOff>
      <xdr:row>2</xdr:row>
      <xdr:rowOff>30168</xdr:rowOff>
    </xdr:from>
    <xdr:to>
      <xdr:col>13</xdr:col>
      <xdr:colOff>596348</xdr:colOff>
      <xdr:row>9</xdr:row>
      <xdr:rowOff>19878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E6738C-1132-4E21-A2E9-CCBFDB23C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133190</xdr:colOff>
      <xdr:row>15</xdr:row>
      <xdr:rowOff>67182</xdr:rowOff>
    </xdr:from>
    <xdr:to>
      <xdr:col>28</xdr:col>
      <xdr:colOff>564652</xdr:colOff>
      <xdr:row>16</xdr:row>
      <xdr:rowOff>129615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1F47EF5-5879-4D9F-A3D2-142BD0500010}"/>
            </a:ext>
          </a:extLst>
        </xdr:cNvPr>
        <xdr:cNvSpPr txBox="1"/>
      </xdr:nvSpPr>
      <xdr:spPr>
        <a:xfrm>
          <a:off x="14865190" y="2924682"/>
          <a:ext cx="2886795" cy="252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Detalhamento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de Despesas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218661</xdr:colOff>
      <xdr:row>17</xdr:row>
      <xdr:rowOff>105834</xdr:rowOff>
    </xdr:from>
    <xdr:to>
      <xdr:col>23</xdr:col>
      <xdr:colOff>99391</xdr:colOff>
      <xdr:row>39</xdr:row>
      <xdr:rowOff>10584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F7A0327-5EEB-4014-B31C-CFE6C16D5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228983</xdr:colOff>
      <xdr:row>15</xdr:row>
      <xdr:rowOff>113837</xdr:rowOff>
    </xdr:from>
    <xdr:to>
      <xdr:col>20</xdr:col>
      <xdr:colOff>216771</xdr:colOff>
      <xdr:row>17</xdr:row>
      <xdr:rowOff>42582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EC310CB0-BBC2-4C72-935B-ACB66CD5D1A1}"/>
            </a:ext>
          </a:extLst>
        </xdr:cNvPr>
        <xdr:cNvSpPr txBox="1"/>
      </xdr:nvSpPr>
      <xdr:spPr>
        <a:xfrm>
          <a:off x="8822650" y="2971337"/>
          <a:ext cx="3670788" cy="30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Receitas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e Despesas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23</xdr:col>
      <xdr:colOff>332192</xdr:colOff>
      <xdr:row>17</xdr:row>
      <xdr:rowOff>53789</xdr:rowOff>
    </xdr:from>
    <xdr:to>
      <xdr:col>30</xdr:col>
      <xdr:colOff>148665</xdr:colOff>
      <xdr:row>39</xdr:row>
      <xdr:rowOff>42333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C7AF40E-2B46-4929-97EA-19970BA36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30</xdr:col>
      <xdr:colOff>264583</xdr:colOff>
      <xdr:row>15</xdr:row>
      <xdr:rowOff>179917</xdr:rowOff>
    </xdr:from>
    <xdr:to>
      <xdr:col>33</xdr:col>
      <xdr:colOff>116417</xdr:colOff>
      <xdr:row>38</xdr:row>
      <xdr:rowOff>74083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Categoria">
              <a:extLst>
                <a:ext uri="{FF2B5EF4-FFF2-40B4-BE49-F238E27FC236}">
                  <a16:creationId xmlns:a16="http://schemas.microsoft.com/office/drawing/2014/main" id="{E9801FE0-0DE1-4AB5-B578-C5676BF07A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65426" y="3069524"/>
              <a:ext cx="1681918" cy="4324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25</xdr:col>
      <xdr:colOff>171678</xdr:colOff>
      <xdr:row>4</xdr:row>
      <xdr:rowOff>151593</xdr:rowOff>
    </xdr:from>
    <xdr:to>
      <xdr:col>26</xdr:col>
      <xdr:colOff>466311</xdr:colOff>
      <xdr:row>11</xdr:row>
      <xdr:rowOff>127164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A9AD164-2C6B-4EAF-9C47-E1AE0E8BA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471514</xdr:colOff>
      <xdr:row>4</xdr:row>
      <xdr:rowOff>151593</xdr:rowOff>
    </xdr:from>
    <xdr:to>
      <xdr:col>28</xdr:col>
      <xdr:colOff>148081</xdr:colOff>
      <xdr:row>11</xdr:row>
      <xdr:rowOff>127164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D771937-0E28-4ED0-86A0-631FDD7B2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153284</xdr:colOff>
      <xdr:row>4</xdr:row>
      <xdr:rowOff>151593</xdr:rowOff>
    </xdr:from>
    <xdr:to>
      <xdr:col>29</xdr:col>
      <xdr:colOff>447917</xdr:colOff>
      <xdr:row>11</xdr:row>
      <xdr:rowOff>127164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16D9258-1B6A-4169-BD33-C94312FDB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453120</xdr:colOff>
      <xdr:row>4</xdr:row>
      <xdr:rowOff>151593</xdr:rowOff>
    </xdr:from>
    <xdr:to>
      <xdr:col>31</xdr:col>
      <xdr:colOff>129687</xdr:colOff>
      <xdr:row>11</xdr:row>
      <xdr:rowOff>127164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B8CCE2A-A29B-4588-9816-CA30F2940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134890</xdr:colOff>
      <xdr:row>4</xdr:row>
      <xdr:rowOff>151593</xdr:rowOff>
    </xdr:from>
    <xdr:to>
      <xdr:col>32</xdr:col>
      <xdr:colOff>429523</xdr:colOff>
      <xdr:row>11</xdr:row>
      <xdr:rowOff>127164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7421E82-6475-4355-B67D-CA2413F05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489908</xdr:colOff>
      <xdr:row>4</xdr:row>
      <xdr:rowOff>151593</xdr:rowOff>
    </xdr:from>
    <xdr:to>
      <xdr:col>25</xdr:col>
      <xdr:colOff>166475</xdr:colOff>
      <xdr:row>11</xdr:row>
      <xdr:rowOff>127164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DE8AE9B-1680-40D6-AD59-3CD2C0ACD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74075</xdr:colOff>
      <xdr:row>7</xdr:row>
      <xdr:rowOff>76241</xdr:rowOff>
    </xdr:from>
    <xdr:to>
      <xdr:col>25</xdr:col>
      <xdr:colOff>0</xdr:colOff>
      <xdr:row>9</xdr:row>
      <xdr:rowOff>12016</xdr:rowOff>
    </xdr:to>
    <xdr:sp macro="" textlink="'Análise Gabarito'!AA21">
      <xdr:nvSpPr>
        <xdr:cNvPr id="24" name="CaixaDeTexto 23">
          <a:extLst>
            <a:ext uri="{FF2B5EF4-FFF2-40B4-BE49-F238E27FC236}">
              <a16:creationId xmlns:a16="http://schemas.microsoft.com/office/drawing/2014/main" id="{19E8832F-2652-3B1E-C84D-76B035757990}"/>
            </a:ext>
          </a:extLst>
        </xdr:cNvPr>
        <xdr:cNvSpPr txBox="1"/>
      </xdr:nvSpPr>
      <xdr:spPr>
        <a:xfrm>
          <a:off x="14806075" y="1409741"/>
          <a:ext cx="539758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indent="0" algn="ctr"/>
          <a:fld id="{DF545922-3A96-44A1-87A2-B0FBA6503F72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72%</a:t>
          </a:fld>
          <a:endParaRPr lang="pt-BR" sz="11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25</xdr:col>
      <xdr:colOff>368764</xdr:colOff>
      <xdr:row>7</xdr:row>
      <xdr:rowOff>76241</xdr:rowOff>
    </xdr:from>
    <xdr:to>
      <xdr:col>26</xdr:col>
      <xdr:colOff>258930</xdr:colOff>
      <xdr:row>9</xdr:row>
      <xdr:rowOff>12016</xdr:rowOff>
    </xdr:to>
    <xdr:sp macro="" textlink="'Análise Gabarito'!AA22">
      <xdr:nvSpPr>
        <xdr:cNvPr id="28" name="CaixaDeTexto 23">
          <a:extLst>
            <a:ext uri="{FF2B5EF4-FFF2-40B4-BE49-F238E27FC236}">
              <a16:creationId xmlns:a16="http://schemas.microsoft.com/office/drawing/2014/main" id="{68C58611-D93F-D048-8B78-CAF48F096FB5}"/>
            </a:ext>
          </a:extLst>
        </xdr:cNvPr>
        <xdr:cNvSpPr txBox="1"/>
      </xdr:nvSpPr>
      <xdr:spPr>
        <a:xfrm>
          <a:off x="15714597" y="1409741"/>
          <a:ext cx="504000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33D17D3E-3E5E-4252-B07C-520F1110705A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40%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27</xdr:col>
      <xdr:colOff>45387</xdr:colOff>
      <xdr:row>7</xdr:row>
      <xdr:rowOff>76241</xdr:rowOff>
    </xdr:from>
    <xdr:to>
      <xdr:col>27</xdr:col>
      <xdr:colOff>553620</xdr:colOff>
      <xdr:row>9</xdr:row>
      <xdr:rowOff>12016</xdr:rowOff>
    </xdr:to>
    <xdr:sp macro="" textlink="'Análise Gabarito'!AA23">
      <xdr:nvSpPr>
        <xdr:cNvPr id="29" name="CaixaDeTexto 23">
          <a:extLst>
            <a:ext uri="{FF2B5EF4-FFF2-40B4-BE49-F238E27FC236}">
              <a16:creationId xmlns:a16="http://schemas.microsoft.com/office/drawing/2014/main" id="{3ECEA662-70DA-8DBD-9D63-7599D70FBD29}"/>
            </a:ext>
          </a:extLst>
        </xdr:cNvPr>
        <xdr:cNvSpPr txBox="1"/>
      </xdr:nvSpPr>
      <xdr:spPr>
        <a:xfrm>
          <a:off x="16618887" y="1409741"/>
          <a:ext cx="508233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3D7B58F-0CEB-4C73-90E0-2C50135886F5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45%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28</xdr:col>
      <xdr:colOff>340076</xdr:colOff>
      <xdr:row>7</xdr:row>
      <xdr:rowOff>76241</xdr:rowOff>
    </xdr:from>
    <xdr:to>
      <xdr:col>29</xdr:col>
      <xdr:colOff>230242</xdr:colOff>
      <xdr:row>9</xdr:row>
      <xdr:rowOff>12016</xdr:rowOff>
    </xdr:to>
    <xdr:sp macro="" textlink="'Análise Gabarito'!AA24">
      <xdr:nvSpPr>
        <xdr:cNvPr id="31" name="CaixaDeTexto 23">
          <a:extLst>
            <a:ext uri="{FF2B5EF4-FFF2-40B4-BE49-F238E27FC236}">
              <a16:creationId xmlns:a16="http://schemas.microsoft.com/office/drawing/2014/main" id="{368FEA7C-6DF7-D5F3-9FA8-B7A9B99CC398}"/>
            </a:ext>
          </a:extLst>
        </xdr:cNvPr>
        <xdr:cNvSpPr txBox="1"/>
      </xdr:nvSpPr>
      <xdr:spPr>
        <a:xfrm>
          <a:off x="17527409" y="1409741"/>
          <a:ext cx="504000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9E50BED-D556-4F57-9AE0-6AE9F01D39A4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5%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30</xdr:col>
      <xdr:colOff>16699</xdr:colOff>
      <xdr:row>7</xdr:row>
      <xdr:rowOff>87344</xdr:rowOff>
    </xdr:from>
    <xdr:to>
      <xdr:col>30</xdr:col>
      <xdr:colOff>524932</xdr:colOff>
      <xdr:row>9</xdr:row>
      <xdr:rowOff>913</xdr:rowOff>
    </xdr:to>
    <xdr:sp macro="" textlink="'Análise Gabarito'!AA25">
      <xdr:nvSpPr>
        <xdr:cNvPr id="32" name="CaixaDeTexto 23">
          <a:extLst>
            <a:ext uri="{FF2B5EF4-FFF2-40B4-BE49-F238E27FC236}">
              <a16:creationId xmlns:a16="http://schemas.microsoft.com/office/drawing/2014/main" id="{B2D00FBE-5EEE-E753-96D9-F6CDC9585E80}"/>
            </a:ext>
          </a:extLst>
        </xdr:cNvPr>
        <xdr:cNvSpPr txBox="1"/>
      </xdr:nvSpPr>
      <xdr:spPr>
        <a:xfrm>
          <a:off x="18431699" y="1420844"/>
          <a:ext cx="508233" cy="2945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BA667C8-C58A-457C-8D4F-7D2FA3B7B40D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0%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31</xdr:col>
      <xdr:colOff>307155</xdr:colOff>
      <xdr:row>7</xdr:row>
      <xdr:rowOff>76241</xdr:rowOff>
    </xdr:from>
    <xdr:to>
      <xdr:col>32</xdr:col>
      <xdr:colOff>201554</xdr:colOff>
      <xdr:row>9</xdr:row>
      <xdr:rowOff>12016</xdr:rowOff>
    </xdr:to>
    <xdr:sp macro="" textlink="'Análise Gabarito'!AA26">
      <xdr:nvSpPr>
        <xdr:cNvPr id="41" name="CaixaDeTexto 23">
          <a:extLst>
            <a:ext uri="{FF2B5EF4-FFF2-40B4-BE49-F238E27FC236}">
              <a16:creationId xmlns:a16="http://schemas.microsoft.com/office/drawing/2014/main" id="{809320FC-3D2B-95B2-D8B3-2373C1CE3CDB}"/>
            </a:ext>
          </a:extLst>
        </xdr:cNvPr>
        <xdr:cNvSpPr txBox="1"/>
      </xdr:nvSpPr>
      <xdr:spPr>
        <a:xfrm>
          <a:off x="19335988" y="1409741"/>
          <a:ext cx="508233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06718246-F269-494D-AA5F-58559B42B6CE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0%</a:t>
          </a:fld>
          <a:endParaRPr lang="pt-BR" sz="11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23</xdr:col>
      <xdr:colOff>496027</xdr:colOff>
      <xdr:row>10</xdr:row>
      <xdr:rowOff>188949</xdr:rowOff>
    </xdr:from>
    <xdr:to>
      <xdr:col>25</xdr:col>
      <xdr:colOff>160868</xdr:colOff>
      <xdr:row>12</xdr:row>
      <xdr:rowOff>132344</xdr:rowOff>
    </xdr:to>
    <xdr:sp macro="" textlink="'Análise Gabarito'!X21">
      <xdr:nvSpPr>
        <xdr:cNvPr id="44" name="CaixaDeTexto 43">
          <a:extLst>
            <a:ext uri="{FF2B5EF4-FFF2-40B4-BE49-F238E27FC236}">
              <a16:creationId xmlns:a16="http://schemas.microsoft.com/office/drawing/2014/main" id="{C16AA13B-1BDF-429B-81DC-78191BA72059}"/>
            </a:ext>
          </a:extLst>
        </xdr:cNvPr>
        <xdr:cNvSpPr txBox="1"/>
      </xdr:nvSpPr>
      <xdr:spPr>
        <a:xfrm>
          <a:off x="14526673" y="2115353"/>
          <a:ext cx="884897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A9CCFC-5223-49DA-921A-5E032B4B2BE1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Lazer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31</xdr:col>
      <xdr:colOff>140849</xdr:colOff>
      <xdr:row>10</xdr:row>
      <xdr:rowOff>188949</xdr:rowOff>
    </xdr:from>
    <xdr:to>
      <xdr:col>32</xdr:col>
      <xdr:colOff>423756</xdr:colOff>
      <xdr:row>12</xdr:row>
      <xdr:rowOff>132344</xdr:rowOff>
    </xdr:to>
    <xdr:sp macro="" textlink="'Análise Gabarito'!X26">
      <xdr:nvSpPr>
        <xdr:cNvPr id="45" name="CaixaDeTexto 44">
          <a:extLst>
            <a:ext uri="{FF2B5EF4-FFF2-40B4-BE49-F238E27FC236}">
              <a16:creationId xmlns:a16="http://schemas.microsoft.com/office/drawing/2014/main" id="{C70230E8-3BF2-4C53-B389-47D32FAB70AB}"/>
            </a:ext>
          </a:extLst>
        </xdr:cNvPr>
        <xdr:cNvSpPr txBox="1"/>
      </xdr:nvSpPr>
      <xdr:spPr>
        <a:xfrm>
          <a:off x="19051720" y="2115353"/>
          <a:ext cx="892935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3EFD6A-413C-4500-861D-407A8B1E7857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Saúde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29</xdr:col>
      <xdr:colOff>459111</xdr:colOff>
      <xdr:row>10</xdr:row>
      <xdr:rowOff>188949</xdr:rowOff>
    </xdr:from>
    <xdr:to>
      <xdr:col>31</xdr:col>
      <xdr:colOff>123952</xdr:colOff>
      <xdr:row>12</xdr:row>
      <xdr:rowOff>132344</xdr:rowOff>
    </xdr:to>
    <xdr:sp macro="" textlink="'Análise Gabarito'!X25">
      <xdr:nvSpPr>
        <xdr:cNvPr id="46" name="CaixaDeTexto 45">
          <a:extLst>
            <a:ext uri="{FF2B5EF4-FFF2-40B4-BE49-F238E27FC236}">
              <a16:creationId xmlns:a16="http://schemas.microsoft.com/office/drawing/2014/main" id="{22B2B6A6-13EB-40E6-A26C-2632A990242B}"/>
            </a:ext>
          </a:extLst>
        </xdr:cNvPr>
        <xdr:cNvSpPr txBox="1"/>
      </xdr:nvSpPr>
      <xdr:spPr>
        <a:xfrm>
          <a:off x="18149926" y="2115353"/>
          <a:ext cx="884897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E00D730-271C-452F-B7E9-E579012F81D5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Desenvolvimento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28</xdr:col>
      <xdr:colOff>159307</xdr:colOff>
      <xdr:row>10</xdr:row>
      <xdr:rowOff>188949</xdr:rowOff>
    </xdr:from>
    <xdr:to>
      <xdr:col>29</xdr:col>
      <xdr:colOff>442214</xdr:colOff>
      <xdr:row>12</xdr:row>
      <xdr:rowOff>132344</xdr:rowOff>
    </xdr:to>
    <xdr:sp macro="" textlink="'Análise Gabarito'!X24">
      <xdr:nvSpPr>
        <xdr:cNvPr id="47" name="CaixaDeTexto 46">
          <a:extLst>
            <a:ext uri="{FF2B5EF4-FFF2-40B4-BE49-F238E27FC236}">
              <a16:creationId xmlns:a16="http://schemas.microsoft.com/office/drawing/2014/main" id="{F427B081-77C4-4A99-AED2-0EBEE688D49A}"/>
            </a:ext>
          </a:extLst>
        </xdr:cNvPr>
        <xdr:cNvSpPr txBox="1"/>
      </xdr:nvSpPr>
      <xdr:spPr>
        <a:xfrm>
          <a:off x="17240094" y="2115353"/>
          <a:ext cx="892935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90011E-C4C3-40FD-9B8C-4B11DC3E2DB3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Vestuário &amp; Acessórios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26</xdr:col>
      <xdr:colOff>477569</xdr:colOff>
      <xdr:row>10</xdr:row>
      <xdr:rowOff>188949</xdr:rowOff>
    </xdr:from>
    <xdr:to>
      <xdr:col>28</xdr:col>
      <xdr:colOff>142410</xdr:colOff>
      <xdr:row>12</xdr:row>
      <xdr:rowOff>132344</xdr:rowOff>
    </xdr:to>
    <xdr:sp macro="" textlink="'Análise Gabarito'!X23">
      <xdr:nvSpPr>
        <xdr:cNvPr id="48" name="CaixaDeTexto 47">
          <a:extLst>
            <a:ext uri="{FF2B5EF4-FFF2-40B4-BE49-F238E27FC236}">
              <a16:creationId xmlns:a16="http://schemas.microsoft.com/office/drawing/2014/main" id="{F0D370AA-AF47-4AD6-91B0-CD2FDEF53711}"/>
            </a:ext>
          </a:extLst>
        </xdr:cNvPr>
        <xdr:cNvSpPr txBox="1"/>
      </xdr:nvSpPr>
      <xdr:spPr>
        <a:xfrm>
          <a:off x="16338299" y="2115353"/>
          <a:ext cx="884898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6FF085-D38E-4D7A-8C5D-4FAD5B16B320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Transporte</a:t>
          </a:fld>
          <a:endParaRPr lang="pt-BR" sz="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25</xdr:col>
      <xdr:colOff>177765</xdr:colOff>
      <xdr:row>10</xdr:row>
      <xdr:rowOff>188949</xdr:rowOff>
    </xdr:from>
    <xdr:to>
      <xdr:col>26</xdr:col>
      <xdr:colOff>460672</xdr:colOff>
      <xdr:row>12</xdr:row>
      <xdr:rowOff>132344</xdr:rowOff>
    </xdr:to>
    <xdr:sp macro="" textlink="'Análise Gabarito'!X22">
      <xdr:nvSpPr>
        <xdr:cNvPr id="49" name="CaixaDeTexto 48">
          <a:extLst>
            <a:ext uri="{FF2B5EF4-FFF2-40B4-BE49-F238E27FC236}">
              <a16:creationId xmlns:a16="http://schemas.microsoft.com/office/drawing/2014/main" id="{1C6C7D70-942B-4868-973D-E374198EDCD1}"/>
            </a:ext>
          </a:extLst>
        </xdr:cNvPr>
        <xdr:cNvSpPr txBox="1"/>
      </xdr:nvSpPr>
      <xdr:spPr>
        <a:xfrm>
          <a:off x="15428467" y="2115353"/>
          <a:ext cx="892935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7C66729-95D0-4E24-9FA1-6E5C70EB2716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Alimentação</a:t>
          </a:fld>
          <a:endParaRPr lang="pt-BR" sz="6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23</xdr:col>
      <xdr:colOff>559210</xdr:colOff>
      <xdr:row>2</xdr:row>
      <xdr:rowOff>133043</xdr:rowOff>
    </xdr:from>
    <xdr:to>
      <xdr:col>30</xdr:col>
      <xdr:colOff>523687</xdr:colOff>
      <xdr:row>4</xdr:row>
      <xdr:rowOff>66987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B386E595-A1CF-4694-B1EF-7F9C4D6470CB}"/>
            </a:ext>
          </a:extLst>
        </xdr:cNvPr>
        <xdr:cNvSpPr txBox="1"/>
      </xdr:nvSpPr>
      <xdr:spPr>
        <a:xfrm>
          <a:off x="14677377" y="514043"/>
          <a:ext cx="4261310" cy="314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Participação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na base anual</a:t>
          </a:r>
          <a:endParaRPr lang="pt-BR" sz="140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85725</xdr:colOff>
      <xdr:row>3</xdr:row>
      <xdr:rowOff>35858</xdr:rowOff>
    </xdr:from>
    <xdr:to>
      <xdr:col>4</xdr:col>
      <xdr:colOff>251011</xdr:colOff>
      <xdr:row>6</xdr:row>
      <xdr:rowOff>116540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81420725-56A5-6FE2-8365-786BB757A29D}"/>
            </a:ext>
          </a:extLst>
        </xdr:cNvPr>
        <xdr:cNvSpPr/>
      </xdr:nvSpPr>
      <xdr:spPr>
        <a:xfrm>
          <a:off x="695325" y="578783"/>
          <a:ext cx="1994086" cy="6236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latin typeface="Montserrat" panose="00000500000000000000" pitchFamily="2" charset="0"/>
            </a:rPr>
            <a:t>Dashboard </a:t>
          </a:r>
        </a:p>
        <a:p>
          <a:pPr algn="l"/>
          <a:r>
            <a:rPr lang="pt-BR" sz="1400" b="1" baseline="0">
              <a:latin typeface="Montserrat" panose="00000500000000000000" pitchFamily="2" charset="0"/>
            </a:rPr>
            <a:t>Finanças Pessoais</a:t>
          </a:r>
          <a:endParaRPr lang="pt-BR" sz="1400" b="1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187100</xdr:colOff>
      <xdr:row>3</xdr:row>
      <xdr:rowOff>106816</xdr:rowOff>
    </xdr:from>
    <xdr:to>
      <xdr:col>1</xdr:col>
      <xdr:colOff>67358</xdr:colOff>
      <xdr:row>6</xdr:row>
      <xdr:rowOff>45584</xdr:rowOff>
    </xdr:to>
    <xdr:pic>
      <xdr:nvPicPr>
        <xdr:cNvPr id="53" name="Gráfico 52" descr="Gráfico de pizza com preenchimento sólido">
          <a:extLst>
            <a:ext uri="{FF2B5EF4-FFF2-40B4-BE49-F238E27FC236}">
              <a16:creationId xmlns:a16="http://schemas.microsoft.com/office/drawing/2014/main" id="{600D6A42-5FE5-BD26-169F-176A06627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87100" y="649741"/>
          <a:ext cx="489858" cy="481693"/>
        </a:xfrm>
        <a:prstGeom prst="rect">
          <a:avLst/>
        </a:prstGeom>
      </xdr:spPr>
    </xdr:pic>
    <xdr:clientData/>
  </xdr:twoCellAnchor>
  <xdr:twoCellAnchor>
    <xdr:from>
      <xdr:col>18</xdr:col>
      <xdr:colOff>597621</xdr:colOff>
      <xdr:row>4</xdr:row>
      <xdr:rowOff>15240</xdr:rowOff>
    </xdr:from>
    <xdr:to>
      <xdr:col>23</xdr:col>
      <xdr:colOff>99061</xdr:colOff>
      <xdr:row>14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A1D47AB-822F-4BE2-8DB8-C166C05F8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142747</xdr:colOff>
      <xdr:row>4</xdr:row>
      <xdr:rowOff>7620</xdr:rowOff>
    </xdr:from>
    <xdr:to>
      <xdr:col>18</xdr:col>
      <xdr:colOff>281940</xdr:colOff>
      <xdr:row>13</xdr:row>
      <xdr:rowOff>176100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1C032965-FA65-4DA3-A134-41F64666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219184</xdr:colOff>
      <xdr:row>2</xdr:row>
      <xdr:rowOff>73284</xdr:rowOff>
    </xdr:from>
    <xdr:to>
      <xdr:col>18</xdr:col>
      <xdr:colOff>274319</xdr:colOff>
      <xdr:row>3</xdr:row>
      <xdr:rowOff>171449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66784E8C-D9C3-4BA2-8202-6AA4F4ACA8E0}"/>
            </a:ext>
          </a:extLst>
        </xdr:cNvPr>
        <xdr:cNvSpPr txBox="1"/>
      </xdr:nvSpPr>
      <xdr:spPr>
        <a:xfrm>
          <a:off x="8753584" y="439044"/>
          <a:ext cx="2493535" cy="281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Despesas no Mês</a:t>
          </a:r>
        </a:p>
      </xdr:txBody>
    </xdr:sp>
    <xdr:clientData/>
  </xdr:twoCellAnchor>
  <xdr:twoCellAnchor>
    <xdr:from>
      <xdr:col>15</xdr:col>
      <xdr:colOff>74998</xdr:colOff>
      <xdr:row>7</xdr:row>
      <xdr:rowOff>158750</xdr:rowOff>
    </xdr:from>
    <xdr:to>
      <xdr:col>16</xdr:col>
      <xdr:colOff>158097</xdr:colOff>
      <xdr:row>9</xdr:row>
      <xdr:rowOff>63075</xdr:rowOff>
    </xdr:to>
    <xdr:sp macro="" textlink="'Análise Gabarito'!AC17">
      <xdr:nvSpPr>
        <xdr:cNvPr id="52" name="CaixaDeTexto 23">
          <a:extLst>
            <a:ext uri="{FF2B5EF4-FFF2-40B4-BE49-F238E27FC236}">
              <a16:creationId xmlns:a16="http://schemas.microsoft.com/office/drawing/2014/main" id="{AD437F7B-37F0-DD2E-D26D-CC315F0FB83E}"/>
            </a:ext>
          </a:extLst>
        </xdr:cNvPr>
        <xdr:cNvSpPr txBox="1"/>
      </xdr:nvSpPr>
      <xdr:spPr>
        <a:xfrm>
          <a:off x="9282498" y="1492250"/>
          <a:ext cx="696932" cy="28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DA5E52E5-5DC2-4B1B-87B9-A0AEAF8C31EE}" type="TxLink">
            <a:rPr lang="en-US" sz="12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54,3%</a:t>
          </a:fld>
          <a:endParaRPr lang="pt-BR" sz="12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436540</xdr:colOff>
      <xdr:row>9</xdr:row>
      <xdr:rowOff>36099</xdr:rowOff>
    </xdr:from>
    <xdr:to>
      <xdr:col>16</xdr:col>
      <xdr:colOff>404102</xdr:colOff>
      <xdr:row>10</xdr:row>
      <xdr:rowOff>112340</xdr:rowOff>
    </xdr:to>
    <xdr:sp macro="" textlink="">
      <xdr:nvSpPr>
        <xdr:cNvPr id="54" name="CaixaDeTexto 23">
          <a:extLst>
            <a:ext uri="{FF2B5EF4-FFF2-40B4-BE49-F238E27FC236}">
              <a16:creationId xmlns:a16="http://schemas.microsoft.com/office/drawing/2014/main" id="{644490D3-1D22-5657-689D-122998F9AD24}"/>
            </a:ext>
          </a:extLst>
        </xdr:cNvPr>
        <xdr:cNvSpPr txBox="1"/>
      </xdr:nvSpPr>
      <xdr:spPr>
        <a:xfrm>
          <a:off x="8970940" y="1701613"/>
          <a:ext cx="1186762" cy="261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Participação na</a:t>
          </a:r>
        </a:p>
        <a:p>
          <a:pPr algn="ctr"/>
          <a:r>
            <a:rPr lang="en-US" sz="6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Base Anual</a:t>
          </a:r>
          <a:endParaRPr lang="pt-BR" sz="600">
            <a:solidFill>
              <a:schemeClr val="bg2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391675</xdr:colOff>
      <xdr:row>7</xdr:row>
      <xdr:rowOff>116417</xdr:rowOff>
    </xdr:from>
    <xdr:to>
      <xdr:col>20</xdr:col>
      <xdr:colOff>598456</xdr:colOff>
      <xdr:row>9</xdr:row>
      <xdr:rowOff>22734</xdr:rowOff>
    </xdr:to>
    <xdr:sp macro="" textlink="'Análise Gabarito'!AC18">
      <xdr:nvSpPr>
        <xdr:cNvPr id="55" name="CaixaDeTexto 23">
          <a:extLst>
            <a:ext uri="{FF2B5EF4-FFF2-40B4-BE49-F238E27FC236}">
              <a16:creationId xmlns:a16="http://schemas.microsoft.com/office/drawing/2014/main" id="{8030C63B-BDAE-4282-A65F-90EC8582473E}"/>
            </a:ext>
          </a:extLst>
        </xdr:cNvPr>
        <xdr:cNvSpPr txBox="1"/>
      </xdr:nvSpPr>
      <xdr:spPr>
        <a:xfrm>
          <a:off x="12054508" y="1449917"/>
          <a:ext cx="820615" cy="287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391DC49-D0EE-494F-A9BD-97B23C9C4B1B}" type="TxLink">
            <a:rPr lang="en-US" sz="12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39,9%</a:t>
          </a:fld>
          <a:endParaRPr lang="pt-BR" sz="1600">
            <a:solidFill>
              <a:schemeClr val="bg2">
                <a:lumMod val="9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137584</xdr:colOff>
      <xdr:row>8</xdr:row>
      <xdr:rowOff>175052</xdr:rowOff>
    </xdr:from>
    <xdr:to>
      <xdr:col>21</xdr:col>
      <xdr:colOff>235866</xdr:colOff>
      <xdr:row>10</xdr:row>
      <xdr:rowOff>71999</xdr:rowOff>
    </xdr:to>
    <xdr:sp macro="" textlink="">
      <xdr:nvSpPr>
        <xdr:cNvPr id="56" name="CaixaDeTexto 23">
          <a:extLst>
            <a:ext uri="{FF2B5EF4-FFF2-40B4-BE49-F238E27FC236}">
              <a16:creationId xmlns:a16="http://schemas.microsoft.com/office/drawing/2014/main" id="{8987CD8D-7F75-49BF-B472-8F8191E13607}"/>
            </a:ext>
          </a:extLst>
        </xdr:cNvPr>
        <xdr:cNvSpPr txBox="1"/>
      </xdr:nvSpPr>
      <xdr:spPr>
        <a:xfrm>
          <a:off x="11800417" y="1699052"/>
          <a:ext cx="1325949" cy="277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Participação na</a:t>
          </a:r>
        </a:p>
        <a:p>
          <a:pPr algn="ctr"/>
          <a:r>
            <a:rPr lang="en-US" sz="600" b="0" i="0" u="none" strike="noStrike">
              <a:solidFill>
                <a:schemeClr val="bg2">
                  <a:lumMod val="7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t>Base Total</a:t>
          </a:r>
          <a:endParaRPr lang="pt-BR" sz="600">
            <a:solidFill>
              <a:schemeClr val="bg2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32</xdr:col>
      <xdr:colOff>434726</xdr:colOff>
      <xdr:row>4</xdr:row>
      <xdr:rowOff>155826</xdr:rowOff>
    </xdr:from>
    <xdr:to>
      <xdr:col>34</xdr:col>
      <xdr:colOff>115527</xdr:colOff>
      <xdr:row>11</xdr:row>
      <xdr:rowOff>131397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9D2B61FE-A8D2-4D13-B278-2DC5242DC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34</xdr:col>
      <xdr:colOff>120730</xdr:colOff>
      <xdr:row>4</xdr:row>
      <xdr:rowOff>155826</xdr:rowOff>
    </xdr:from>
    <xdr:to>
      <xdr:col>35</xdr:col>
      <xdr:colOff>411129</xdr:colOff>
      <xdr:row>11</xdr:row>
      <xdr:rowOff>131397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48EA6CD0-7251-4D1E-9E56-007CE3AC6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35</xdr:col>
      <xdr:colOff>416332</xdr:colOff>
      <xdr:row>4</xdr:row>
      <xdr:rowOff>155826</xdr:rowOff>
    </xdr:from>
    <xdr:to>
      <xdr:col>37</xdr:col>
      <xdr:colOff>97133</xdr:colOff>
      <xdr:row>11</xdr:row>
      <xdr:rowOff>131397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B3835595-EDEA-4D47-813D-968DB3E95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33</xdr:col>
      <xdr:colOff>46804</xdr:colOff>
      <xdr:row>7</xdr:row>
      <xdr:rowOff>80475</xdr:rowOff>
    </xdr:from>
    <xdr:to>
      <xdr:col>33</xdr:col>
      <xdr:colOff>555037</xdr:colOff>
      <xdr:row>9</xdr:row>
      <xdr:rowOff>16250</xdr:rowOff>
    </xdr:to>
    <xdr:sp macro="" textlink="'Análise Gabarito'!AA27">
      <xdr:nvSpPr>
        <xdr:cNvPr id="61" name="CaixaDeTexto 23">
          <a:extLst>
            <a:ext uri="{FF2B5EF4-FFF2-40B4-BE49-F238E27FC236}">
              <a16:creationId xmlns:a16="http://schemas.microsoft.com/office/drawing/2014/main" id="{956A5E13-712B-43E8-9F39-9EC6946520A7}"/>
            </a:ext>
          </a:extLst>
        </xdr:cNvPr>
        <xdr:cNvSpPr txBox="1"/>
      </xdr:nvSpPr>
      <xdr:spPr>
        <a:xfrm>
          <a:off x="20303304" y="1413975"/>
          <a:ext cx="508233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DA65E5AB-E740-4BF8-9C1D-8AB0844A3BFB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100%</a:t>
          </a:fld>
          <a:endParaRPr lang="pt-BR" sz="11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32</xdr:col>
      <xdr:colOff>440653</xdr:colOff>
      <xdr:row>10</xdr:row>
      <xdr:rowOff>188949</xdr:rowOff>
    </xdr:from>
    <xdr:to>
      <xdr:col>34</xdr:col>
      <xdr:colOff>109728</xdr:colOff>
      <xdr:row>12</xdr:row>
      <xdr:rowOff>132344</xdr:rowOff>
    </xdr:to>
    <xdr:sp macro="" textlink="'Análise Gabarito'!X27">
      <xdr:nvSpPr>
        <xdr:cNvPr id="62" name="CaixaDeTexto 61">
          <a:extLst>
            <a:ext uri="{FF2B5EF4-FFF2-40B4-BE49-F238E27FC236}">
              <a16:creationId xmlns:a16="http://schemas.microsoft.com/office/drawing/2014/main" id="{6A48357A-6CB1-440A-BBFE-F39EB5273CFF}"/>
            </a:ext>
          </a:extLst>
        </xdr:cNvPr>
        <xdr:cNvSpPr txBox="1"/>
      </xdr:nvSpPr>
      <xdr:spPr>
        <a:xfrm>
          <a:off x="19961552" y="2115353"/>
          <a:ext cx="889131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CC3AA26-B2F2-4EE4-8B84-11B688020396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Cuidados Pessoais</a:t>
          </a:fld>
          <a:endParaRPr lang="pt-BR" sz="6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37</xdr:col>
      <xdr:colOff>102333</xdr:colOff>
      <xdr:row>4</xdr:row>
      <xdr:rowOff>170643</xdr:rowOff>
    </xdr:from>
    <xdr:to>
      <xdr:col>38</xdr:col>
      <xdr:colOff>392732</xdr:colOff>
      <xdr:row>11</xdr:row>
      <xdr:rowOff>146214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991B4A19-F8F4-4816-AF8C-693174728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34</xdr:col>
      <xdr:colOff>336788</xdr:colOff>
      <xdr:row>7</xdr:row>
      <xdr:rowOff>74125</xdr:rowOff>
    </xdr:from>
    <xdr:to>
      <xdr:col>35</xdr:col>
      <xdr:colOff>231187</xdr:colOff>
      <xdr:row>9</xdr:row>
      <xdr:rowOff>9900</xdr:rowOff>
    </xdr:to>
    <xdr:sp macro="" textlink="'Análise Gabarito'!AA28">
      <xdr:nvSpPr>
        <xdr:cNvPr id="67" name="CaixaDeTexto 23">
          <a:extLst>
            <a:ext uri="{FF2B5EF4-FFF2-40B4-BE49-F238E27FC236}">
              <a16:creationId xmlns:a16="http://schemas.microsoft.com/office/drawing/2014/main" id="{578C87E7-44E2-413A-8780-38FF938D10A9}"/>
            </a:ext>
          </a:extLst>
        </xdr:cNvPr>
        <xdr:cNvSpPr txBox="1"/>
      </xdr:nvSpPr>
      <xdr:spPr>
        <a:xfrm>
          <a:off x="21207121" y="1407625"/>
          <a:ext cx="508233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F6BB81F5-30D4-4FEA-BFB6-6F2425D9D93A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0%</a:t>
          </a:fld>
          <a:endParaRPr lang="pt-BR" sz="11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36</xdr:col>
      <xdr:colOff>23521</xdr:colOff>
      <xdr:row>7</xdr:row>
      <xdr:rowOff>99525</xdr:rowOff>
    </xdr:from>
    <xdr:to>
      <xdr:col>36</xdr:col>
      <xdr:colOff>531754</xdr:colOff>
      <xdr:row>9</xdr:row>
      <xdr:rowOff>35300</xdr:rowOff>
    </xdr:to>
    <xdr:sp macro="" textlink="'Análise Gabarito'!AA29">
      <xdr:nvSpPr>
        <xdr:cNvPr id="68" name="CaixaDeTexto 23">
          <a:extLst>
            <a:ext uri="{FF2B5EF4-FFF2-40B4-BE49-F238E27FC236}">
              <a16:creationId xmlns:a16="http://schemas.microsoft.com/office/drawing/2014/main" id="{24396E72-ABFC-48F1-AFF2-2ACE184E9912}"/>
            </a:ext>
          </a:extLst>
        </xdr:cNvPr>
        <xdr:cNvSpPr txBox="1"/>
      </xdr:nvSpPr>
      <xdr:spPr>
        <a:xfrm>
          <a:off x="22121521" y="1433025"/>
          <a:ext cx="508233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2EE22308-2BCA-4962-857F-BE099C340841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50%</a:t>
          </a:fld>
          <a:endParaRPr lang="pt-BR" sz="11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37</xdr:col>
      <xdr:colOff>302922</xdr:colOff>
      <xdr:row>7</xdr:row>
      <xdr:rowOff>93175</xdr:rowOff>
    </xdr:from>
    <xdr:to>
      <xdr:col>38</xdr:col>
      <xdr:colOff>197321</xdr:colOff>
      <xdr:row>9</xdr:row>
      <xdr:rowOff>28950</xdr:rowOff>
    </xdr:to>
    <xdr:sp macro="" textlink="'Análise Gabarito'!AA30">
      <xdr:nvSpPr>
        <xdr:cNvPr id="69" name="CaixaDeTexto 23">
          <a:extLst>
            <a:ext uri="{FF2B5EF4-FFF2-40B4-BE49-F238E27FC236}">
              <a16:creationId xmlns:a16="http://schemas.microsoft.com/office/drawing/2014/main" id="{939B5292-1A4C-48E0-B367-A5E4A1E20B85}"/>
            </a:ext>
          </a:extLst>
        </xdr:cNvPr>
        <xdr:cNvSpPr txBox="1"/>
      </xdr:nvSpPr>
      <xdr:spPr>
        <a:xfrm>
          <a:off x="23014755" y="1426675"/>
          <a:ext cx="508233" cy="316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D256CCCB-862D-41AC-A9A9-50129B74BC45}" type="TxLink">
            <a:rPr lang="en-US" sz="11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50%</a:t>
          </a:fld>
          <a:endParaRPr lang="pt-BR" sz="11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34</xdr:col>
      <xdr:colOff>126625</xdr:colOff>
      <xdr:row>10</xdr:row>
      <xdr:rowOff>188949</xdr:rowOff>
    </xdr:from>
    <xdr:to>
      <xdr:col>35</xdr:col>
      <xdr:colOff>405728</xdr:colOff>
      <xdr:row>12</xdr:row>
      <xdr:rowOff>132344</xdr:rowOff>
    </xdr:to>
    <xdr:sp macro="" textlink="'Análise Gabarito'!X28">
      <xdr:nvSpPr>
        <xdr:cNvPr id="70" name="CaixaDeTexto 69">
          <a:extLst>
            <a:ext uri="{FF2B5EF4-FFF2-40B4-BE49-F238E27FC236}">
              <a16:creationId xmlns:a16="http://schemas.microsoft.com/office/drawing/2014/main" id="{5972854A-D598-431A-9FDE-C254623FD4AD}"/>
            </a:ext>
          </a:extLst>
        </xdr:cNvPr>
        <xdr:cNvSpPr txBox="1"/>
      </xdr:nvSpPr>
      <xdr:spPr>
        <a:xfrm>
          <a:off x="20867580" y="2115353"/>
          <a:ext cx="889131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263DC51-4953-412C-B4CC-081C4F510249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Relacionamento</a:t>
          </a:fld>
          <a:endParaRPr lang="pt-BR" sz="6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35</xdr:col>
      <xdr:colOff>422625</xdr:colOff>
      <xdr:row>10</xdr:row>
      <xdr:rowOff>188949</xdr:rowOff>
    </xdr:from>
    <xdr:to>
      <xdr:col>37</xdr:col>
      <xdr:colOff>91700</xdr:colOff>
      <xdr:row>12</xdr:row>
      <xdr:rowOff>132344</xdr:rowOff>
    </xdr:to>
    <xdr:sp macro="" textlink="'Análise Gabarito'!X29">
      <xdr:nvSpPr>
        <xdr:cNvPr id="71" name="CaixaDeTexto 70">
          <a:extLst>
            <a:ext uri="{FF2B5EF4-FFF2-40B4-BE49-F238E27FC236}">
              <a16:creationId xmlns:a16="http://schemas.microsoft.com/office/drawing/2014/main" id="{1978AB97-F859-43D6-83BF-2CC3F802661D}"/>
            </a:ext>
          </a:extLst>
        </xdr:cNvPr>
        <xdr:cNvSpPr txBox="1"/>
      </xdr:nvSpPr>
      <xdr:spPr>
        <a:xfrm>
          <a:off x="21773608" y="2115353"/>
          <a:ext cx="889131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2BC7AF2-9555-4BBC-AF0B-D8597BB50C51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Assinatura</a:t>
          </a:fld>
          <a:endParaRPr lang="pt-BR" sz="6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37</xdr:col>
      <xdr:colOff>108593</xdr:colOff>
      <xdr:row>10</xdr:row>
      <xdr:rowOff>188949</xdr:rowOff>
    </xdr:from>
    <xdr:to>
      <xdr:col>38</xdr:col>
      <xdr:colOff>387696</xdr:colOff>
      <xdr:row>12</xdr:row>
      <xdr:rowOff>132344</xdr:rowOff>
    </xdr:to>
    <xdr:sp macro="" textlink="'Análise Gabarito'!X30">
      <xdr:nvSpPr>
        <xdr:cNvPr id="72" name="CaixaDeTexto 71">
          <a:extLst>
            <a:ext uri="{FF2B5EF4-FFF2-40B4-BE49-F238E27FC236}">
              <a16:creationId xmlns:a16="http://schemas.microsoft.com/office/drawing/2014/main" id="{3CD67481-0836-4AAD-91C4-715BD56616FC}"/>
            </a:ext>
          </a:extLst>
        </xdr:cNvPr>
        <xdr:cNvSpPr txBox="1"/>
      </xdr:nvSpPr>
      <xdr:spPr>
        <a:xfrm>
          <a:off x="22679632" y="2115353"/>
          <a:ext cx="889131" cy="32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6DD27BC-1C8D-48CB-913B-33CEBCAE6BF6}" type="TxLink">
            <a:rPr lang="en-US" sz="600" b="0" i="0" u="none" strike="noStrike">
              <a:solidFill>
                <a:schemeClr val="bg2">
                  <a:lumMod val="9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Cartão</a:t>
          </a:fld>
          <a:endParaRPr lang="pt-BR" sz="600" b="0" i="0" u="none" strike="noStrike">
            <a:solidFill>
              <a:schemeClr val="bg2">
                <a:lumMod val="9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483870</xdr:colOff>
      <xdr:row>0</xdr:row>
      <xdr:rowOff>57150</xdr:rowOff>
    </xdr:from>
    <xdr:to>
      <xdr:col>38</xdr:col>
      <xdr:colOff>217170</xdr:colOff>
      <xdr:row>3</xdr:row>
      <xdr:rowOff>87630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F870CEB1-08F5-E3DD-6A5B-EA49119F5A88}"/>
            </a:ext>
          </a:extLst>
        </xdr:cNvPr>
        <xdr:cNvGrpSpPr/>
      </xdr:nvGrpSpPr>
      <xdr:grpSpPr>
        <a:xfrm>
          <a:off x="28020645" y="57150"/>
          <a:ext cx="3390900" cy="601980"/>
          <a:chOff x="16600170" y="506730"/>
          <a:chExt cx="3390900" cy="579120"/>
        </a:xfrm>
      </xdr:grpSpPr>
      <xdr:sp macro="" textlink="">
        <xdr:nvSpPr>
          <xdr:cNvPr id="40" name="Fluxograma: Atraso 39">
            <a:extLst>
              <a:ext uri="{FF2B5EF4-FFF2-40B4-BE49-F238E27FC236}">
                <a16:creationId xmlns:a16="http://schemas.microsoft.com/office/drawing/2014/main" id="{8FD08F39-6B30-5D06-D6AB-622F74E99412}"/>
              </a:ext>
            </a:extLst>
          </xdr:cNvPr>
          <xdr:cNvSpPr/>
        </xdr:nvSpPr>
        <xdr:spPr>
          <a:xfrm>
            <a:off x="19389090" y="506730"/>
            <a:ext cx="601980" cy="579120"/>
          </a:xfrm>
          <a:prstGeom prst="flowChartDelay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1" name="Retângulo 40">
            <a:extLst>
              <a:ext uri="{FF2B5EF4-FFF2-40B4-BE49-F238E27FC236}">
                <a16:creationId xmlns:a16="http://schemas.microsoft.com/office/drawing/2014/main" id="{30D49213-6D4F-EF52-0D29-61AA67A819A1}"/>
              </a:ext>
            </a:extLst>
          </xdr:cNvPr>
          <xdr:cNvSpPr/>
        </xdr:nvSpPr>
        <xdr:spPr>
          <a:xfrm rot="5400000">
            <a:off x="187566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4F009F75-4A18-4918-78FA-D016B5F93936}"/>
              </a:ext>
            </a:extLst>
          </xdr:cNvPr>
          <xdr:cNvSpPr/>
        </xdr:nvSpPr>
        <xdr:spPr>
          <a:xfrm rot="5400000">
            <a:off x="180327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Retângulo 42">
            <a:extLst>
              <a:ext uri="{FF2B5EF4-FFF2-40B4-BE49-F238E27FC236}">
                <a16:creationId xmlns:a16="http://schemas.microsoft.com/office/drawing/2014/main" id="{47179980-9F43-59AC-174A-1C3B6A02E1F9}"/>
              </a:ext>
            </a:extLst>
          </xdr:cNvPr>
          <xdr:cNvSpPr/>
        </xdr:nvSpPr>
        <xdr:spPr>
          <a:xfrm rot="5400000">
            <a:off x="1734693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4" name="Retângulo 43">
            <a:extLst>
              <a:ext uri="{FF2B5EF4-FFF2-40B4-BE49-F238E27FC236}">
                <a16:creationId xmlns:a16="http://schemas.microsoft.com/office/drawing/2014/main" id="{357CD5A3-4232-7DAE-78F9-D74C63FE2EF5}"/>
              </a:ext>
            </a:extLst>
          </xdr:cNvPr>
          <xdr:cNvSpPr/>
        </xdr:nvSpPr>
        <xdr:spPr>
          <a:xfrm rot="5400000">
            <a:off x="16676370" y="43053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34</xdr:col>
      <xdr:colOff>45720</xdr:colOff>
      <xdr:row>4</xdr:row>
      <xdr:rowOff>7620</xdr:rowOff>
    </xdr:from>
    <xdr:to>
      <xdr:col>35</xdr:col>
      <xdr:colOff>15240</xdr:colOff>
      <xdr:row>30</xdr:row>
      <xdr:rowOff>60960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3AB0F3DA-2D4A-EE3B-6C52-A5077DAB76FA}"/>
            </a:ext>
          </a:extLst>
        </xdr:cNvPr>
        <xdr:cNvGrpSpPr/>
      </xdr:nvGrpSpPr>
      <xdr:grpSpPr>
        <a:xfrm>
          <a:off x="28801695" y="769620"/>
          <a:ext cx="579120" cy="5006340"/>
          <a:chOff x="16283940" y="1082040"/>
          <a:chExt cx="579120" cy="4808220"/>
        </a:xfrm>
      </xdr:grpSpPr>
      <xdr:sp macro="" textlink="">
        <xdr:nvSpPr>
          <xdr:cNvPr id="4" name="Fluxograma: Atraso 3">
            <a:extLst>
              <a:ext uri="{FF2B5EF4-FFF2-40B4-BE49-F238E27FC236}">
                <a16:creationId xmlns:a16="http://schemas.microsoft.com/office/drawing/2014/main" id="{5B4AFDD7-6C7E-9097-B6B4-9CEF5C9FCEBD}"/>
              </a:ext>
            </a:extLst>
          </xdr:cNvPr>
          <xdr:cNvSpPr/>
        </xdr:nvSpPr>
        <xdr:spPr>
          <a:xfrm rot="16200000">
            <a:off x="16272510" y="1093470"/>
            <a:ext cx="601980" cy="579120"/>
          </a:xfrm>
          <a:prstGeom prst="flowChartDelay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EB7C0C68-F8D2-F8F2-E557-84B3906A43AF}"/>
              </a:ext>
            </a:extLst>
          </xdr:cNvPr>
          <xdr:cNvSpPr/>
        </xdr:nvSpPr>
        <xdr:spPr>
          <a:xfrm>
            <a:off x="16283940" y="16611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752E402B-566A-3CEA-EA4A-7050A3D79316}"/>
              </a:ext>
            </a:extLst>
          </xdr:cNvPr>
          <xdr:cNvSpPr/>
        </xdr:nvSpPr>
        <xdr:spPr>
          <a:xfrm>
            <a:off x="16283940" y="23850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DD4AF8FD-AE94-5D80-C5F3-AC8382B104B9}"/>
              </a:ext>
            </a:extLst>
          </xdr:cNvPr>
          <xdr:cNvSpPr/>
        </xdr:nvSpPr>
        <xdr:spPr>
          <a:xfrm>
            <a:off x="16283940" y="307086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8DC38F18-598D-6C28-0127-FF8E2681C66B}"/>
              </a:ext>
            </a:extLst>
          </xdr:cNvPr>
          <xdr:cNvSpPr/>
        </xdr:nvSpPr>
        <xdr:spPr>
          <a:xfrm>
            <a:off x="16283940" y="374142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20A6F65A-9039-386C-CFC2-D1B97122E77F}"/>
              </a:ext>
            </a:extLst>
          </xdr:cNvPr>
          <xdr:cNvSpPr/>
        </xdr:nvSpPr>
        <xdr:spPr>
          <a:xfrm>
            <a:off x="16283940" y="447294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76B94832-6FA2-8EAB-8AAD-9269833BFA4B}"/>
              </a:ext>
            </a:extLst>
          </xdr:cNvPr>
          <xdr:cNvSpPr/>
        </xdr:nvSpPr>
        <xdr:spPr>
          <a:xfrm>
            <a:off x="16283940" y="5158740"/>
            <a:ext cx="579120" cy="731520"/>
          </a:xfrm>
          <a:prstGeom prst="rect">
            <a:avLst/>
          </a:prstGeom>
          <a:solidFill>
            <a:srgbClr val="474F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32</xdr:col>
      <xdr:colOff>556260</xdr:colOff>
      <xdr:row>11</xdr:row>
      <xdr:rowOff>137160</xdr:rowOff>
    </xdr:from>
    <xdr:to>
      <xdr:col>33</xdr:col>
      <xdr:colOff>525780</xdr:colOff>
      <xdr:row>30</xdr:row>
      <xdr:rowOff>53340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D56FDBE-F0EF-B4EC-035D-B33618C9D7FC}"/>
            </a:ext>
          </a:extLst>
        </xdr:cNvPr>
        <xdr:cNvGrpSpPr/>
      </xdr:nvGrpSpPr>
      <xdr:grpSpPr>
        <a:xfrm>
          <a:off x="28093035" y="2232660"/>
          <a:ext cx="579120" cy="3535680"/>
          <a:chOff x="19110960" y="891540"/>
          <a:chExt cx="579120" cy="3390900"/>
        </a:xfrm>
      </xdr:grpSpPr>
      <xdr:sp macro="" textlink="">
        <xdr:nvSpPr>
          <xdr:cNvPr id="12" name="Fluxograma: Atraso 11">
            <a:extLst>
              <a:ext uri="{FF2B5EF4-FFF2-40B4-BE49-F238E27FC236}">
                <a16:creationId xmlns:a16="http://schemas.microsoft.com/office/drawing/2014/main" id="{D59A2B8C-F29A-79F8-BEE0-864CA0C86B78}"/>
              </a:ext>
            </a:extLst>
          </xdr:cNvPr>
          <xdr:cNvSpPr/>
        </xdr:nvSpPr>
        <xdr:spPr>
          <a:xfrm rot="16200000">
            <a:off x="19099530" y="902970"/>
            <a:ext cx="601980" cy="579120"/>
          </a:xfrm>
          <a:prstGeom prst="flowChartDelay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FEE8C014-9E2B-99AF-2285-E1839E1F36EB}"/>
              </a:ext>
            </a:extLst>
          </xdr:cNvPr>
          <xdr:cNvSpPr/>
        </xdr:nvSpPr>
        <xdr:spPr>
          <a:xfrm>
            <a:off x="19110960" y="14706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CEEE334A-13A9-C251-8764-9261C70BCCBF}"/>
              </a:ext>
            </a:extLst>
          </xdr:cNvPr>
          <xdr:cNvSpPr/>
        </xdr:nvSpPr>
        <xdr:spPr>
          <a:xfrm>
            <a:off x="19110960" y="21945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DB68DB2B-5295-F37F-3D96-7833E68CEE2B}"/>
              </a:ext>
            </a:extLst>
          </xdr:cNvPr>
          <xdr:cNvSpPr/>
        </xdr:nvSpPr>
        <xdr:spPr>
          <a:xfrm>
            <a:off x="19110960" y="288036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7D7BEF40-7C2E-603A-576F-0443D1F3F9C7}"/>
              </a:ext>
            </a:extLst>
          </xdr:cNvPr>
          <xdr:cNvSpPr/>
        </xdr:nvSpPr>
        <xdr:spPr>
          <a:xfrm>
            <a:off x="19110960" y="3550920"/>
            <a:ext cx="579120" cy="731520"/>
          </a:xfrm>
          <a:prstGeom prst="rect">
            <a:avLst/>
          </a:prstGeom>
          <a:solidFill>
            <a:srgbClr val="CA4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ziano" refreshedDate="46076.709911458332" createdVersion="8" refreshedVersion="8" minRefreshableVersion="3" recordCount="264" xr:uid="{A4C51F1B-5753-4B9A-A5AF-77829EFF407C}">
  <cacheSource type="worksheet">
    <worksheetSource ref="A1:I1048576" sheet="Base"/>
  </cacheSource>
  <cacheFields count="9">
    <cacheField name="Data" numFmtId="14">
      <sharedItems containsNonDate="0" containsDate="1" containsString="0" containsBlank="1" minDate="2025-08-22T00:00:00" maxDate="2026-02-19T00:00:00"/>
    </cacheField>
    <cacheField name="Ano" numFmtId="0">
      <sharedItems containsString="0" containsBlank="1" containsNumber="1" containsInteger="1" minValue="2025" maxValue="2026"/>
    </cacheField>
    <cacheField name="Mês" numFmtId="0">
      <sharedItems containsBlank="1"/>
    </cacheField>
    <cacheField name="Mês_extenso" numFmtId="0">
      <sharedItems containsBlank="1"/>
    </cacheField>
    <cacheField name="Tipo" numFmtId="0">
      <sharedItems containsBlank="1" count="4">
        <s v="Despesa"/>
        <s v="Receita"/>
        <s v="Aporte"/>
        <m/>
      </sharedItems>
    </cacheField>
    <cacheField name="Categoria" numFmtId="0">
      <sharedItems containsBlank="1" count="14">
        <s v="Alimentação"/>
        <s v="Profissional"/>
        <s v="Investimentos"/>
        <s v="Transporte"/>
        <s v="Desenvolvimento"/>
        <s v="Lazer"/>
        <s v="Cartão"/>
        <s v="Cuidados Pessoais"/>
        <s v="Moradia"/>
        <s v="Saúde"/>
        <s v="Assinatura"/>
        <s v="Relacionamento"/>
        <s v="Vestuário &amp; Acessórios"/>
        <m/>
      </sharedItems>
    </cacheField>
    <cacheField name="Categoria_receita" numFmtId="0">
      <sharedItems containsBlank="1"/>
    </cacheField>
    <cacheField name="Descrição" numFmtId="0">
      <sharedItems containsBlank="1"/>
    </cacheField>
    <cacheField name="Valor" numFmtId="0">
      <sharedItems containsString="0" containsBlank="1" containsNumber="1" minValue="0.01" maxValue="5262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ziano" refreshedDate="46076.711189583337" createdVersion="8" refreshedVersion="8" minRefreshableVersion="3" recordCount="263" xr:uid="{F8F26C2D-F745-4C3D-B061-3669BC01E1B6}">
  <cacheSource type="worksheet">
    <worksheetSource ref="A1:I264" sheet="Base"/>
  </cacheSource>
  <cacheFields count="10">
    <cacheField name="Data" numFmtId="14">
      <sharedItems containsSemiMixedTypes="0" containsNonDate="0" containsDate="1" containsString="0" minDate="2025-08-22T00:00:00" maxDate="2026-02-19T00:00:00"/>
    </cacheField>
    <cacheField name="Ano" numFmtId="0">
      <sharedItems containsSemiMixedTypes="0" containsString="0" containsNumber="1" containsInteger="1" minValue="2023" maxValue="2026" count="4">
        <n v="2025"/>
        <n v="2026"/>
        <n v="2023" u="1"/>
        <n v="2024" u="1"/>
      </sharedItems>
    </cacheField>
    <cacheField name="Mês" numFmtId="0">
      <sharedItems count="12">
        <s v="ago"/>
        <s v="set"/>
        <s v="out"/>
        <s v="nov"/>
        <s v="dez"/>
        <s v="jan"/>
        <s v="fev"/>
        <s v="mar" u="1"/>
        <s v="abr" u="1"/>
        <s v="mai" u="1"/>
        <s v="jun" u="1"/>
        <s v="jul" u="1"/>
      </sharedItems>
    </cacheField>
    <cacheField name="Mês_extenso" numFmtId="0">
      <sharedItems count="12">
        <s v="Agosto"/>
        <s v="Setembro"/>
        <s v="Outubro"/>
        <s v="Novembro"/>
        <s v="Dezembro"/>
        <s v="Janeiro"/>
        <s v="Fevereiro"/>
        <s v="Março" u="1"/>
        <s v="Abril" u="1"/>
        <s v="Maio" u="1"/>
        <s v="Junho" u="1"/>
        <s v="Julho" u="1"/>
      </sharedItems>
    </cacheField>
    <cacheField name="Tipo" numFmtId="0">
      <sharedItems count="3">
        <s v="Despesa"/>
        <s v="Receita"/>
        <s v="Aporte"/>
      </sharedItems>
    </cacheField>
    <cacheField name="Categoria" numFmtId="0">
      <sharedItems count="20">
        <s v="Alimentação"/>
        <s v="Profissional"/>
        <s v="Investimentos"/>
        <s v="Transporte"/>
        <s v="Desenvolvimento"/>
        <s v="Lazer"/>
        <s v="Cartão"/>
        <s v="Cuidados Pessoais"/>
        <s v="Moradia"/>
        <s v="Saúde"/>
        <s v="Assinatura"/>
        <s v="Relacionamento"/>
        <s v="Vestuário &amp; Acessórios"/>
        <s v="Salário" u="1"/>
        <s v="Renda extra" u="1"/>
        <s v="Retirada de aplicações" u="1"/>
        <s v="Renda passiva" u="1"/>
        <s v="Vestuário" u="1"/>
        <s v="Subsistência" u="1"/>
        <s v="Presentes" u="1"/>
      </sharedItems>
    </cacheField>
    <cacheField name="Categoria_receita" numFmtId="0">
      <sharedItems count="3">
        <s v=""/>
        <s v="Salário"/>
        <s v="Outras Receitas"/>
      </sharedItems>
    </cacheField>
    <cacheField name="Descrição" numFmtId="0">
      <sharedItems count="66">
        <s v="Delivery"/>
        <s v="Salário"/>
        <s v="Previdência Privada"/>
        <s v="Manutenção do carro"/>
        <s v="Cursos"/>
        <s v="Pix"/>
        <s v="Role"/>
        <s v="Uber/táxi"/>
        <s v="Feira"/>
        <s v="Bar"/>
        <s v="Banca"/>
        <s v="Seguro"/>
        <s v="Mercadinho"/>
        <s v="Cinema"/>
        <s v="Restaurante"/>
        <s v="Barbearia"/>
        <s v="Show"/>
        <s v="mercado"/>
        <s v="PLR"/>
        <s v="Parcela apto"/>
        <s v="Farmácia"/>
        <s v="Renda Fixa"/>
        <s v="Dentista"/>
        <s v="-"/>
        <s v="Estacionamento"/>
        <s v="Rateio"/>
        <s v="Nati"/>
        <s v="Acessórios Diversos"/>
        <s v="Roupas"/>
        <s v="13o"/>
        <s v="Gasolina"/>
        <s v="FII"/>
        <s v="Serviço"/>
        <s v="Balada"/>
        <s v="Renda variável"/>
        <s v="Rendimentos/Dividendos"/>
        <s v="Videogames"/>
        <s v="IA"/>
        <s v="IOF"/>
        <s v="VA"/>
        <s v="Reembolso"/>
        <s v="Acessórios"/>
        <s v="Salário mensal" u="1"/>
        <s v="Freelas e comissões" u="1"/>
        <s v="Água" u="1"/>
        <s v="Gás" u="1"/>
        <s v="Aluguel" u="1"/>
        <s v="Resgate mensal" u="1"/>
        <s v="Juros/dividendos" u="1"/>
        <s v="Energia" u="1"/>
        <s v="Internet" u="1"/>
        <s v="Exames médicos" u="1"/>
        <s v="Hortifruti" u="1"/>
        <s v="Condomínio" u="1"/>
        <s v="Seguro de carro" u="1"/>
        <s v="Iptu" u="1"/>
        <s v="Plano de saúde" u="1"/>
        <s v="Passagem de ônibus" u="1"/>
        <s v="Manutenção residencial" u="1"/>
        <s v="Consulta particular" u="1"/>
        <s v="Açougue" u="1"/>
        <s v="Pedágios" u="1"/>
        <s v="Padaria" u="1"/>
        <s v="Calçados" u="1"/>
        <s v="Streaming" u="1"/>
        <s v="Viagem" u="1"/>
      </sharedItems>
    </cacheField>
    <cacheField name="Valor" numFmtId="166">
      <sharedItems containsSemiMixedTypes="0" containsString="0" containsNumber="1" minValue="0.01" maxValue="5262.43"/>
    </cacheField>
    <cacheField name="valmax" numFmtId="0" formula="MAX(Valor)*120%" databaseField="0"/>
  </cacheFields>
  <extLst>
    <ext xmlns:x14="http://schemas.microsoft.com/office/spreadsheetml/2009/9/main" uri="{725AE2AE-9491-48be-B2B4-4EB974FC3084}">
      <x14:pivotCacheDefinition pivotCacheId="16437610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d v="2025-08-22T00:00:00"/>
    <n v="2025"/>
    <s v="ago"/>
    <s v="Agosto"/>
    <x v="0"/>
    <x v="0"/>
    <s v=""/>
    <s v="Delivery"/>
    <n v="95.89"/>
  </r>
  <r>
    <d v="2025-08-23T00:00:00"/>
    <n v="2025"/>
    <s v="ago"/>
    <s v="Agosto"/>
    <x v="0"/>
    <x v="0"/>
    <s v=""/>
    <s v="Delivery"/>
    <n v="131.97999999999999"/>
  </r>
  <r>
    <d v="2025-08-24T00:00:00"/>
    <n v="2025"/>
    <s v="ago"/>
    <s v="Agosto"/>
    <x v="0"/>
    <x v="0"/>
    <s v=""/>
    <s v="Delivery"/>
    <n v="172.98"/>
  </r>
  <r>
    <d v="2025-08-28T00:00:00"/>
    <n v="2025"/>
    <s v="ago"/>
    <s v="Agosto"/>
    <x v="1"/>
    <x v="1"/>
    <s v="Salário"/>
    <s v="Salário"/>
    <n v="4320.2299999999996"/>
  </r>
  <r>
    <d v="2025-08-28T00:00:00"/>
    <n v="2025"/>
    <s v="ago"/>
    <s v="Agosto"/>
    <x v="2"/>
    <x v="2"/>
    <s v=""/>
    <s v="Previdência Privada"/>
    <n v="238.46"/>
  </r>
  <r>
    <d v="2025-08-28T00:00:00"/>
    <n v="2025"/>
    <s v="ago"/>
    <s v="Agosto"/>
    <x v="0"/>
    <x v="3"/>
    <s v=""/>
    <s v="Manutenção do carro"/>
    <n v="600"/>
  </r>
  <r>
    <d v="2025-08-28T00:00:00"/>
    <n v="2025"/>
    <s v="ago"/>
    <s v="Agosto"/>
    <x v="0"/>
    <x v="4"/>
    <s v=""/>
    <s v="Cursos"/>
    <n v="500"/>
  </r>
  <r>
    <d v="2025-08-28T00:00:00"/>
    <n v="2025"/>
    <s v="ago"/>
    <s v="Agosto"/>
    <x v="0"/>
    <x v="5"/>
    <s v=""/>
    <s v="Pix"/>
    <n v="123"/>
  </r>
  <r>
    <d v="2025-08-29T00:00:00"/>
    <n v="2025"/>
    <s v="ago"/>
    <s v="Agosto"/>
    <x v="1"/>
    <x v="5"/>
    <s v="Outras Receitas"/>
    <s v="Role"/>
    <n v="32"/>
  </r>
  <r>
    <d v="2025-08-30T00:00:00"/>
    <n v="2025"/>
    <s v="ago"/>
    <s v="Agosto"/>
    <x v="0"/>
    <x v="3"/>
    <s v=""/>
    <s v="Uber/táxi"/>
    <n v="16.920000000000002"/>
  </r>
  <r>
    <d v="2025-08-30T00:00:00"/>
    <n v="2025"/>
    <s v="ago"/>
    <s v="Agosto"/>
    <x v="0"/>
    <x v="0"/>
    <s v=""/>
    <s v="Feira"/>
    <n v="34"/>
  </r>
  <r>
    <d v="2025-08-30T00:00:00"/>
    <n v="2025"/>
    <s v="ago"/>
    <s v="Agosto"/>
    <x v="0"/>
    <x v="0"/>
    <s v=""/>
    <s v="Feira"/>
    <n v="22"/>
  </r>
  <r>
    <d v="2025-08-30T00:00:00"/>
    <n v="2025"/>
    <s v="ago"/>
    <s v="Agosto"/>
    <x v="0"/>
    <x v="3"/>
    <s v=""/>
    <s v="Uber/táxi"/>
    <n v="58.94"/>
  </r>
  <r>
    <d v="2025-08-30T00:00:00"/>
    <n v="2025"/>
    <s v="ago"/>
    <s v="Agosto"/>
    <x v="0"/>
    <x v="5"/>
    <s v=""/>
    <s v="Bar"/>
    <n v="15"/>
  </r>
  <r>
    <d v="2025-08-31T00:00:00"/>
    <n v="2025"/>
    <s v="ago"/>
    <s v="Agosto"/>
    <x v="0"/>
    <x v="3"/>
    <s v=""/>
    <s v="Uber/táxi"/>
    <n v="68.97"/>
  </r>
  <r>
    <d v="2025-08-31T00:00:00"/>
    <n v="2025"/>
    <s v="ago"/>
    <s v="Agosto"/>
    <x v="0"/>
    <x v="5"/>
    <s v=""/>
    <s v="Bar"/>
    <n v="280"/>
  </r>
  <r>
    <d v="2025-09-01T00:00:00"/>
    <n v="2025"/>
    <s v="set"/>
    <s v="Setembro"/>
    <x v="1"/>
    <x v="5"/>
    <s v="Outras Receitas"/>
    <s v="Role"/>
    <n v="70"/>
  </r>
  <r>
    <d v="2025-09-01T00:00:00"/>
    <n v="2025"/>
    <s v="set"/>
    <s v="Setembro"/>
    <x v="0"/>
    <x v="5"/>
    <s v=""/>
    <s v="Banca"/>
    <n v="10"/>
  </r>
  <r>
    <d v="2025-09-01T00:00:00"/>
    <n v="2025"/>
    <s v="set"/>
    <s v="Setembro"/>
    <x v="0"/>
    <x v="6"/>
    <s v=""/>
    <s v="Seguro"/>
    <n v="9.99"/>
  </r>
  <r>
    <d v="2025-09-03T00:00:00"/>
    <n v="2025"/>
    <s v="set"/>
    <s v="Setembro"/>
    <x v="0"/>
    <x v="0"/>
    <s v=""/>
    <s v="Mercadinho"/>
    <n v="22.79"/>
  </r>
  <r>
    <d v="2025-09-06T00:00:00"/>
    <n v="2025"/>
    <s v="set"/>
    <s v="Setembro"/>
    <x v="0"/>
    <x v="5"/>
    <s v=""/>
    <s v="Cinema"/>
    <n v="86"/>
  </r>
  <r>
    <d v="2025-09-06T00:00:00"/>
    <n v="2025"/>
    <s v="set"/>
    <s v="Setembro"/>
    <x v="0"/>
    <x v="5"/>
    <s v=""/>
    <s v="Bar"/>
    <n v="170"/>
  </r>
  <r>
    <d v="2025-09-09T00:00:00"/>
    <n v="2025"/>
    <s v="set"/>
    <s v="Setembro"/>
    <x v="0"/>
    <x v="0"/>
    <s v=""/>
    <s v="Restaurante"/>
    <n v="21"/>
  </r>
  <r>
    <d v="2025-09-10T00:00:00"/>
    <n v="2025"/>
    <s v="set"/>
    <s v="Setembro"/>
    <x v="0"/>
    <x v="7"/>
    <s v=""/>
    <s v="Barbearia"/>
    <n v="105"/>
  </r>
  <r>
    <d v="2025-09-13T00:00:00"/>
    <n v="2025"/>
    <s v="set"/>
    <s v="Setembro"/>
    <x v="0"/>
    <x v="5"/>
    <s v=""/>
    <s v="Show"/>
    <n v="10"/>
  </r>
  <r>
    <d v="2025-09-13T00:00:00"/>
    <n v="2025"/>
    <s v="set"/>
    <s v="Setembro"/>
    <x v="0"/>
    <x v="5"/>
    <s v=""/>
    <s v="Show"/>
    <n v="90"/>
  </r>
  <r>
    <d v="2025-09-13T00:00:00"/>
    <n v="2025"/>
    <s v="set"/>
    <s v="Setembro"/>
    <x v="0"/>
    <x v="3"/>
    <s v=""/>
    <s v="Uber/táxi"/>
    <n v="76.42"/>
  </r>
  <r>
    <d v="2025-09-13T00:00:00"/>
    <n v="2025"/>
    <s v="set"/>
    <s v="Setembro"/>
    <x v="0"/>
    <x v="5"/>
    <s v=""/>
    <s v="Bar"/>
    <n v="84"/>
  </r>
  <r>
    <d v="2025-09-13T00:00:00"/>
    <n v="2025"/>
    <s v="set"/>
    <s v="Setembro"/>
    <x v="0"/>
    <x v="3"/>
    <s v=""/>
    <s v="Uber/táxi"/>
    <n v="17.829999999999998"/>
  </r>
  <r>
    <d v="2025-09-14T00:00:00"/>
    <n v="2025"/>
    <s v="set"/>
    <s v="Setembro"/>
    <x v="0"/>
    <x v="3"/>
    <s v=""/>
    <s v="Uber/táxi"/>
    <n v="24.27"/>
  </r>
  <r>
    <d v="2025-09-14T00:00:00"/>
    <n v="2025"/>
    <s v="set"/>
    <s v="Setembro"/>
    <x v="0"/>
    <x v="0"/>
    <s v=""/>
    <s v="mercado"/>
    <n v="10.99"/>
  </r>
  <r>
    <d v="2025-09-17T00:00:00"/>
    <n v="2025"/>
    <s v="set"/>
    <s v="Setembro"/>
    <x v="0"/>
    <x v="0"/>
    <s v=""/>
    <s v="Mercadinho"/>
    <n v="17.989999999999998"/>
  </r>
  <r>
    <d v="2025-09-18T00:00:00"/>
    <n v="2025"/>
    <s v="set"/>
    <s v="Setembro"/>
    <x v="0"/>
    <x v="6"/>
    <s v=""/>
    <s v="Seguro"/>
    <n v="9.99"/>
  </r>
  <r>
    <d v="2025-09-18T00:00:00"/>
    <n v="2025"/>
    <s v="set"/>
    <s v="Setembro"/>
    <x v="0"/>
    <x v="0"/>
    <s v=""/>
    <s v="Mercadinho"/>
    <n v="6"/>
  </r>
  <r>
    <d v="2025-09-19T00:00:00"/>
    <n v="2025"/>
    <s v="set"/>
    <s v="Setembro"/>
    <x v="1"/>
    <x v="1"/>
    <s v="Outras Receitas"/>
    <s v="PLR"/>
    <n v="3771.76"/>
  </r>
  <r>
    <d v="2025-09-20T00:00:00"/>
    <n v="2025"/>
    <s v="set"/>
    <s v="Setembro"/>
    <x v="0"/>
    <x v="3"/>
    <s v=""/>
    <s v="Uber/táxi"/>
    <n v="47.7"/>
  </r>
  <r>
    <d v="2025-09-20T00:00:00"/>
    <n v="2025"/>
    <s v="set"/>
    <s v="Setembro"/>
    <x v="0"/>
    <x v="5"/>
    <s v=""/>
    <s v="Bar"/>
    <n v="56.1"/>
  </r>
  <r>
    <d v="2025-09-20T00:00:00"/>
    <n v="2025"/>
    <s v="set"/>
    <s v="Setembro"/>
    <x v="0"/>
    <x v="3"/>
    <s v=""/>
    <s v="Uber/táxi"/>
    <n v="24.9"/>
  </r>
  <r>
    <d v="2025-09-26T00:00:00"/>
    <n v="2025"/>
    <s v="set"/>
    <s v="Setembro"/>
    <x v="2"/>
    <x v="8"/>
    <s v=""/>
    <s v="Parcela apto"/>
    <n v="1429.23"/>
  </r>
  <r>
    <d v="2025-09-26T00:00:00"/>
    <n v="2025"/>
    <s v="set"/>
    <s v="Setembro"/>
    <x v="0"/>
    <x v="9"/>
    <s v=""/>
    <s v="Farmácia"/>
    <n v="62.28"/>
  </r>
  <r>
    <d v="2025-09-27T00:00:00"/>
    <n v="2025"/>
    <s v="set"/>
    <s v="Setembro"/>
    <x v="0"/>
    <x v="0"/>
    <s v=""/>
    <s v="Restaurante"/>
    <n v="14"/>
  </r>
  <r>
    <d v="2025-09-27T00:00:00"/>
    <n v="2025"/>
    <s v="set"/>
    <s v="Setembro"/>
    <x v="0"/>
    <x v="0"/>
    <s v=""/>
    <s v="Restaurante"/>
    <n v="57"/>
  </r>
  <r>
    <d v="2025-09-29T00:00:00"/>
    <n v="2025"/>
    <s v="set"/>
    <s v="Setembro"/>
    <x v="1"/>
    <x v="1"/>
    <s v="Salário"/>
    <s v="Salário"/>
    <n v="5005.1000000000004"/>
  </r>
  <r>
    <d v="2025-09-29T00:00:00"/>
    <n v="2025"/>
    <s v="set"/>
    <s v="Setembro"/>
    <x v="2"/>
    <x v="2"/>
    <s v=""/>
    <s v="Previdência Privada"/>
    <n v="252"/>
  </r>
  <r>
    <d v="2025-09-29T00:00:00"/>
    <n v="2025"/>
    <s v="set"/>
    <s v="Setembro"/>
    <x v="2"/>
    <x v="2"/>
    <s v=""/>
    <s v="Renda Fixa"/>
    <n v="4.13"/>
  </r>
  <r>
    <d v="2025-09-29T00:00:00"/>
    <n v="2025"/>
    <s v="set"/>
    <s v="Setembro"/>
    <x v="1"/>
    <x v="5"/>
    <s v="Outras Receitas"/>
    <s v="Role"/>
    <n v="12"/>
  </r>
  <r>
    <d v="2025-09-30T00:00:00"/>
    <n v="2025"/>
    <s v="set"/>
    <s v="Setembro"/>
    <x v="0"/>
    <x v="9"/>
    <s v=""/>
    <s v="Dentista"/>
    <n v="245"/>
  </r>
  <r>
    <d v="2025-10-03T00:00:00"/>
    <n v="2025"/>
    <s v="out"/>
    <s v="Outubro"/>
    <x v="0"/>
    <x v="3"/>
    <s v=""/>
    <s v="Uber/táxi"/>
    <n v="70"/>
  </r>
  <r>
    <d v="2025-10-04T00:00:00"/>
    <n v="2025"/>
    <s v="out"/>
    <s v="Outubro"/>
    <x v="0"/>
    <x v="3"/>
    <s v=""/>
    <s v="Uber/táxi"/>
    <n v="49.7"/>
  </r>
  <r>
    <d v="2025-10-05T00:00:00"/>
    <n v="2025"/>
    <s v="out"/>
    <s v="Outubro"/>
    <x v="0"/>
    <x v="3"/>
    <s v=""/>
    <s v="Uber/táxi"/>
    <n v="79.61"/>
  </r>
  <r>
    <d v="2025-10-10T00:00:00"/>
    <n v="2025"/>
    <s v="out"/>
    <s v="Outubro"/>
    <x v="0"/>
    <x v="6"/>
    <s v=""/>
    <s v="-"/>
    <n v="124.89"/>
  </r>
  <r>
    <d v="2025-10-10T00:00:00"/>
    <n v="2025"/>
    <s v="out"/>
    <s v="Outubro"/>
    <x v="2"/>
    <x v="8"/>
    <s v=""/>
    <s v="Parcela apto"/>
    <n v="1399.8"/>
  </r>
  <r>
    <d v="2025-10-10T00:00:00"/>
    <n v="2025"/>
    <s v="out"/>
    <s v="Outubro"/>
    <x v="0"/>
    <x v="0"/>
    <s v=""/>
    <s v="Delivery"/>
    <n v="235.28"/>
  </r>
  <r>
    <d v="2025-10-11T00:00:00"/>
    <n v="2025"/>
    <s v="out"/>
    <s v="Outubro"/>
    <x v="0"/>
    <x v="3"/>
    <s v=""/>
    <s v="Uber/táxi"/>
    <n v="30.92"/>
  </r>
  <r>
    <d v="2025-10-11T00:00:00"/>
    <n v="2025"/>
    <s v="out"/>
    <s v="Outubro"/>
    <x v="0"/>
    <x v="5"/>
    <s v=""/>
    <s v="Banca"/>
    <n v="140"/>
  </r>
  <r>
    <d v="2025-10-12T00:00:00"/>
    <n v="2025"/>
    <s v="out"/>
    <s v="Outubro"/>
    <x v="0"/>
    <x v="9"/>
    <s v=""/>
    <s v="Farmácia"/>
    <n v="27.74"/>
  </r>
  <r>
    <d v="2025-10-12T00:00:00"/>
    <n v="2025"/>
    <s v="out"/>
    <s v="Outubro"/>
    <x v="0"/>
    <x v="0"/>
    <s v=""/>
    <s v="Delivery"/>
    <n v="159.38"/>
  </r>
  <r>
    <d v="2025-10-13T00:00:00"/>
    <n v="2025"/>
    <s v="out"/>
    <s v="Outubro"/>
    <x v="0"/>
    <x v="5"/>
    <s v=""/>
    <s v="Pix"/>
    <n v="55"/>
  </r>
  <r>
    <d v="2025-10-15T00:00:00"/>
    <n v="2025"/>
    <s v="out"/>
    <s v="Outubro"/>
    <x v="0"/>
    <x v="5"/>
    <s v=""/>
    <s v="Role"/>
    <n v="66"/>
  </r>
  <r>
    <d v="2025-10-17T00:00:00"/>
    <n v="2025"/>
    <s v="out"/>
    <s v="Outubro"/>
    <x v="0"/>
    <x v="7"/>
    <s v=""/>
    <s v="Barbearia"/>
    <n v="115"/>
  </r>
  <r>
    <d v="2025-10-17T00:00:00"/>
    <n v="2025"/>
    <s v="out"/>
    <s v="Outubro"/>
    <x v="0"/>
    <x v="3"/>
    <s v=""/>
    <s v="Uber/táxi"/>
    <n v="38.58"/>
  </r>
  <r>
    <d v="2025-10-18T00:00:00"/>
    <n v="2025"/>
    <s v="out"/>
    <s v="Outubro"/>
    <x v="0"/>
    <x v="5"/>
    <s v=""/>
    <s v="Bar"/>
    <n v="59.4"/>
  </r>
  <r>
    <d v="2025-10-19T00:00:00"/>
    <n v="2025"/>
    <s v="out"/>
    <s v="Outubro"/>
    <x v="0"/>
    <x v="3"/>
    <s v=""/>
    <s v="Uber/táxi"/>
    <n v="75.97"/>
  </r>
  <r>
    <d v="2025-10-20T00:00:00"/>
    <n v="2025"/>
    <s v="out"/>
    <s v="Outubro"/>
    <x v="0"/>
    <x v="5"/>
    <s v=""/>
    <s v="Role"/>
    <n v="50"/>
  </r>
  <r>
    <d v="2025-10-21T00:00:00"/>
    <n v="2025"/>
    <s v="out"/>
    <s v="Outubro"/>
    <x v="0"/>
    <x v="5"/>
    <s v=""/>
    <s v="Role"/>
    <n v="30"/>
  </r>
  <r>
    <d v="2025-10-21T00:00:00"/>
    <n v="2025"/>
    <s v="out"/>
    <s v="Outubro"/>
    <x v="0"/>
    <x v="6"/>
    <s v=""/>
    <s v="Seguro"/>
    <n v="9.99"/>
  </r>
  <r>
    <d v="2025-10-24T00:00:00"/>
    <n v="2025"/>
    <s v="out"/>
    <s v="Outubro"/>
    <x v="0"/>
    <x v="0"/>
    <s v=""/>
    <s v="mercado"/>
    <n v="24.98"/>
  </r>
  <r>
    <d v="2025-10-26T00:00:00"/>
    <n v="2025"/>
    <s v="out"/>
    <s v="Outubro"/>
    <x v="0"/>
    <x v="3"/>
    <s v=""/>
    <s v="Estacionamento"/>
    <n v="20"/>
  </r>
  <r>
    <d v="2025-10-27T00:00:00"/>
    <n v="2025"/>
    <s v="out"/>
    <s v="Outubro"/>
    <x v="2"/>
    <x v="2"/>
    <s v=""/>
    <s v="Renda Fixa"/>
    <n v="7.11"/>
  </r>
  <r>
    <d v="2025-10-29T00:00:00"/>
    <n v="2025"/>
    <s v="out"/>
    <s v="Outubro"/>
    <x v="1"/>
    <x v="5"/>
    <s v="Outras Receitas"/>
    <s v="Role"/>
    <n v="12"/>
  </r>
  <r>
    <d v="2025-10-30T00:00:00"/>
    <n v="2025"/>
    <s v="out"/>
    <s v="Outubro"/>
    <x v="1"/>
    <x v="1"/>
    <s v="Salário"/>
    <s v="Salário"/>
    <n v="5162"/>
  </r>
  <r>
    <d v="2025-10-30T00:00:00"/>
    <n v="2025"/>
    <s v="out"/>
    <s v="Outubro"/>
    <x v="0"/>
    <x v="0"/>
    <s v=""/>
    <s v="Mercadinho"/>
    <n v="18.989999999999998"/>
  </r>
  <r>
    <d v="2025-10-30T00:00:00"/>
    <n v="2025"/>
    <s v="out"/>
    <s v="Outubro"/>
    <x v="2"/>
    <x v="2"/>
    <s v=""/>
    <s v="Previdência Privada"/>
    <n v="252"/>
  </r>
  <r>
    <d v="2025-10-31T00:00:00"/>
    <n v="2025"/>
    <s v="out"/>
    <s v="Outubro"/>
    <x v="0"/>
    <x v="5"/>
    <s v=""/>
    <s v="Banca"/>
    <n v="170"/>
  </r>
  <r>
    <d v="2025-10-31T00:00:00"/>
    <n v="2025"/>
    <s v="out"/>
    <s v="Outubro"/>
    <x v="0"/>
    <x v="3"/>
    <s v=""/>
    <s v="Uber/táxi"/>
    <n v="85.96"/>
  </r>
  <r>
    <d v="2025-10-31T00:00:00"/>
    <n v="2025"/>
    <s v="out"/>
    <s v="Outubro"/>
    <x v="0"/>
    <x v="0"/>
    <s v=""/>
    <s v="mercado"/>
    <n v="234.8"/>
  </r>
  <r>
    <d v="2025-10-31T00:00:00"/>
    <n v="2025"/>
    <s v="out"/>
    <s v="Outubro"/>
    <x v="1"/>
    <x v="5"/>
    <s v="Outras Receitas"/>
    <s v="Role"/>
    <n v="85"/>
  </r>
  <r>
    <d v="2025-11-02T00:00:00"/>
    <n v="2025"/>
    <s v="nov"/>
    <s v="Novembro"/>
    <x v="0"/>
    <x v="5"/>
    <s v=""/>
    <s v="Bar"/>
    <n v="79.2"/>
  </r>
  <r>
    <d v="2025-11-03T00:00:00"/>
    <n v="2025"/>
    <s v="nov"/>
    <s v="Novembro"/>
    <x v="1"/>
    <x v="5"/>
    <s v="Outras Receitas"/>
    <s v="Role"/>
    <n v="176.1"/>
  </r>
  <r>
    <d v="2025-11-03T00:00:00"/>
    <n v="2025"/>
    <s v="nov"/>
    <s v="Novembro"/>
    <x v="0"/>
    <x v="10"/>
    <s v=""/>
    <s v="Rateio"/>
    <n v="80"/>
  </r>
  <r>
    <d v="2025-11-05T00:00:00"/>
    <n v="2025"/>
    <s v="nov"/>
    <s v="Novembro"/>
    <x v="0"/>
    <x v="11"/>
    <s v=""/>
    <s v="Nati"/>
    <n v="114.64"/>
  </r>
  <r>
    <d v="2025-11-05T00:00:00"/>
    <n v="2025"/>
    <s v="nov"/>
    <s v="Novembro"/>
    <x v="0"/>
    <x v="0"/>
    <s v=""/>
    <s v="Mercadinho"/>
    <n v="12"/>
  </r>
  <r>
    <d v="2025-11-06T00:00:00"/>
    <n v="2025"/>
    <s v="nov"/>
    <s v="Novembro"/>
    <x v="0"/>
    <x v="0"/>
    <s v=""/>
    <s v="mercado"/>
    <n v="65.45"/>
  </r>
  <r>
    <d v="2025-11-07T00:00:00"/>
    <n v="2025"/>
    <s v="nov"/>
    <s v="Novembro"/>
    <x v="0"/>
    <x v="3"/>
    <s v=""/>
    <s v="Uber/táxi"/>
    <n v="51.96"/>
  </r>
  <r>
    <d v="2025-11-08T00:00:00"/>
    <n v="2025"/>
    <s v="nov"/>
    <s v="Novembro"/>
    <x v="0"/>
    <x v="5"/>
    <s v=""/>
    <s v="Bar"/>
    <n v="481"/>
  </r>
  <r>
    <d v="2025-11-09T00:00:00"/>
    <n v="2025"/>
    <s v="nov"/>
    <s v="Novembro"/>
    <x v="0"/>
    <x v="3"/>
    <s v=""/>
    <s v="Uber/táxi"/>
    <n v="25.13"/>
  </r>
  <r>
    <d v="2025-11-10T00:00:00"/>
    <n v="2025"/>
    <s v="nov"/>
    <s v="Novembro"/>
    <x v="2"/>
    <x v="8"/>
    <s v=""/>
    <s v="Parcela apto"/>
    <n v="1402.18"/>
  </r>
  <r>
    <d v="2025-11-10T00:00:00"/>
    <n v="2025"/>
    <s v="nov"/>
    <s v="Novembro"/>
    <x v="2"/>
    <x v="8"/>
    <s v=""/>
    <s v="Parcela apto"/>
    <n v="124.89"/>
  </r>
  <r>
    <d v="2025-11-11T00:00:00"/>
    <n v="2025"/>
    <s v="nov"/>
    <s v="Novembro"/>
    <x v="0"/>
    <x v="5"/>
    <s v=""/>
    <s v="Acessórios Diversos"/>
    <n v="66.5"/>
  </r>
  <r>
    <d v="2025-11-11T00:00:00"/>
    <n v="2025"/>
    <s v="nov"/>
    <s v="Novembro"/>
    <x v="0"/>
    <x v="5"/>
    <s v=""/>
    <s v="Acessórios Diversos"/>
    <n v="169.9"/>
  </r>
  <r>
    <d v="2025-11-15T00:00:00"/>
    <n v="2025"/>
    <s v="nov"/>
    <s v="Novembro"/>
    <x v="0"/>
    <x v="5"/>
    <s v=""/>
    <s v="Role"/>
    <n v="159.63"/>
  </r>
  <r>
    <d v="2025-11-15T00:00:00"/>
    <n v="2025"/>
    <s v="nov"/>
    <s v="Novembro"/>
    <x v="0"/>
    <x v="5"/>
    <s v=""/>
    <s v="Banca"/>
    <n v="110"/>
  </r>
  <r>
    <d v="2025-11-15T00:00:00"/>
    <n v="2025"/>
    <s v="nov"/>
    <s v="Novembro"/>
    <x v="0"/>
    <x v="0"/>
    <s v=""/>
    <s v="mercado"/>
    <n v="209.4"/>
  </r>
  <r>
    <d v="2025-11-15T00:00:00"/>
    <n v="2025"/>
    <s v="nov"/>
    <s v="Novembro"/>
    <x v="0"/>
    <x v="12"/>
    <s v=""/>
    <s v="Roupas"/>
    <n v="126.01"/>
  </r>
  <r>
    <d v="2025-11-15T00:00:00"/>
    <n v="2025"/>
    <s v="nov"/>
    <s v="Novembro"/>
    <x v="0"/>
    <x v="6"/>
    <s v=""/>
    <s v="Seguro"/>
    <n v="9.99"/>
  </r>
  <r>
    <d v="2025-11-15T00:00:00"/>
    <n v="2025"/>
    <s v="nov"/>
    <s v="Novembro"/>
    <x v="0"/>
    <x v="12"/>
    <s v=""/>
    <s v="Roupas"/>
    <n v="296.58"/>
  </r>
  <r>
    <d v="2025-11-17T00:00:00"/>
    <n v="2025"/>
    <s v="nov"/>
    <s v="Novembro"/>
    <x v="1"/>
    <x v="5"/>
    <s v="Outras Receitas"/>
    <s v="Role"/>
    <n v="42"/>
  </r>
  <r>
    <d v="2025-11-19T00:00:00"/>
    <n v="2025"/>
    <s v="nov"/>
    <s v="Novembro"/>
    <x v="0"/>
    <x v="0"/>
    <s v=""/>
    <s v="mercado"/>
    <n v="221.74"/>
  </r>
  <r>
    <d v="2025-11-19T00:00:00"/>
    <n v="2025"/>
    <s v="nov"/>
    <s v="Novembro"/>
    <x v="0"/>
    <x v="0"/>
    <s v=""/>
    <s v="mercado"/>
    <n v="511.64"/>
  </r>
  <r>
    <d v="2025-11-22T00:00:00"/>
    <n v="2025"/>
    <s v="nov"/>
    <s v="Novembro"/>
    <x v="0"/>
    <x v="5"/>
    <s v=""/>
    <s v="Role"/>
    <n v="50"/>
  </r>
  <r>
    <d v="2025-11-22T00:00:00"/>
    <n v="2025"/>
    <s v="nov"/>
    <s v="Novembro"/>
    <x v="0"/>
    <x v="5"/>
    <s v=""/>
    <s v="Role"/>
    <n v="40"/>
  </r>
  <r>
    <d v="2025-11-24T00:00:00"/>
    <n v="2025"/>
    <s v="nov"/>
    <s v="Novembro"/>
    <x v="1"/>
    <x v="5"/>
    <s v="Outras Receitas"/>
    <s v="Role"/>
    <n v="425.04"/>
  </r>
  <r>
    <d v="2025-11-25T00:00:00"/>
    <n v="2025"/>
    <s v="nov"/>
    <s v="Novembro"/>
    <x v="0"/>
    <x v="7"/>
    <s v=""/>
    <s v="Barbearia"/>
    <n v="90"/>
  </r>
  <r>
    <d v="2025-11-26T00:00:00"/>
    <n v="2025"/>
    <s v="nov"/>
    <s v="Novembro"/>
    <x v="0"/>
    <x v="5"/>
    <s v=""/>
    <s v="Role"/>
    <n v="420"/>
  </r>
  <r>
    <d v="2025-11-26T00:00:00"/>
    <n v="2025"/>
    <s v="nov"/>
    <s v="Novembro"/>
    <x v="0"/>
    <x v="5"/>
    <s v=""/>
    <s v="Role"/>
    <n v="5"/>
  </r>
  <r>
    <d v="2025-11-27T00:00:00"/>
    <n v="2025"/>
    <s v="nov"/>
    <s v="Novembro"/>
    <x v="1"/>
    <x v="1"/>
    <s v="Salário"/>
    <s v="Salário"/>
    <n v="5262.43"/>
  </r>
  <r>
    <d v="2025-11-27T00:00:00"/>
    <n v="2025"/>
    <s v="nov"/>
    <s v="Novembro"/>
    <x v="1"/>
    <x v="1"/>
    <s v="Outras Receitas"/>
    <s v="13o"/>
    <n v="1312.51"/>
  </r>
  <r>
    <d v="2025-11-27T00:00:00"/>
    <n v="2025"/>
    <s v="nov"/>
    <s v="Novembro"/>
    <x v="2"/>
    <x v="2"/>
    <s v=""/>
    <s v="Previdência Privada"/>
    <n v="252"/>
  </r>
  <r>
    <d v="2025-11-28T00:00:00"/>
    <n v="2025"/>
    <s v="nov"/>
    <s v="Novembro"/>
    <x v="1"/>
    <x v="2"/>
    <s v="Outras Receitas"/>
    <s v="Renda Fixa"/>
    <n v="8.99"/>
  </r>
  <r>
    <d v="2025-11-28T00:00:00"/>
    <n v="2025"/>
    <s v="nov"/>
    <s v="Novembro"/>
    <x v="0"/>
    <x v="11"/>
    <s v=""/>
    <s v="Nati"/>
    <n v="244.68"/>
  </r>
  <r>
    <d v="2025-11-28T00:00:00"/>
    <n v="2025"/>
    <s v="nov"/>
    <s v="Novembro"/>
    <x v="0"/>
    <x v="3"/>
    <s v=""/>
    <s v="Uber/táxi"/>
    <n v="70.95"/>
  </r>
  <r>
    <d v="2025-11-29T00:00:00"/>
    <n v="2025"/>
    <s v="nov"/>
    <s v="Novembro"/>
    <x v="0"/>
    <x v="3"/>
    <s v=""/>
    <s v="Gasolina"/>
    <n v="59"/>
  </r>
  <r>
    <d v="2025-11-29T00:00:00"/>
    <n v="2025"/>
    <s v="nov"/>
    <s v="Novembro"/>
    <x v="0"/>
    <x v="9"/>
    <s v=""/>
    <s v="Farmácia"/>
    <n v="26.4"/>
  </r>
  <r>
    <d v="2025-11-29T00:00:00"/>
    <n v="2025"/>
    <s v="nov"/>
    <s v="Novembro"/>
    <x v="0"/>
    <x v="3"/>
    <s v=""/>
    <s v="Gasolina"/>
    <n v="253.03"/>
  </r>
  <r>
    <d v="2025-11-29T00:00:00"/>
    <n v="2025"/>
    <s v="nov"/>
    <s v="Novembro"/>
    <x v="0"/>
    <x v="3"/>
    <s v=""/>
    <s v="Uber/táxi"/>
    <n v="102.99"/>
  </r>
  <r>
    <d v="2025-11-29T00:00:00"/>
    <n v="2025"/>
    <s v="nov"/>
    <s v="Novembro"/>
    <x v="0"/>
    <x v="5"/>
    <s v=""/>
    <s v="Bar"/>
    <n v="55"/>
  </r>
  <r>
    <d v="2025-12-01T00:00:00"/>
    <n v="2025"/>
    <s v="dez"/>
    <s v="Dezembro"/>
    <x v="1"/>
    <x v="5"/>
    <s v="Outras Receitas"/>
    <s v="Role"/>
    <n v="51"/>
  </r>
  <r>
    <d v="2025-12-01T00:00:00"/>
    <n v="2025"/>
    <s v="dez"/>
    <s v="Dezembro"/>
    <x v="1"/>
    <x v="5"/>
    <s v="Outras Receitas"/>
    <s v="Role"/>
    <n v="12"/>
  </r>
  <r>
    <d v="2025-12-01T00:00:00"/>
    <n v="2025"/>
    <s v="dez"/>
    <s v="Dezembro"/>
    <x v="2"/>
    <x v="2"/>
    <s v=""/>
    <s v="Renda Fixa"/>
    <n v="3500"/>
  </r>
  <r>
    <d v="2025-12-01T00:00:00"/>
    <n v="2025"/>
    <s v="dez"/>
    <s v="Dezembro"/>
    <x v="2"/>
    <x v="2"/>
    <s v=""/>
    <s v="FII"/>
    <n v="752.82"/>
  </r>
  <r>
    <d v="2025-12-01T00:00:00"/>
    <n v="2025"/>
    <s v="dez"/>
    <s v="Dezembro"/>
    <x v="2"/>
    <x v="2"/>
    <s v=""/>
    <s v="FII"/>
    <n v="711.54"/>
  </r>
  <r>
    <d v="2025-12-01T00:00:00"/>
    <n v="2025"/>
    <s v="dez"/>
    <s v="Dezembro"/>
    <x v="0"/>
    <x v="10"/>
    <s v=""/>
    <s v="Serviço"/>
    <n v="147"/>
  </r>
  <r>
    <d v="2025-12-01T00:00:00"/>
    <n v="2025"/>
    <s v="dez"/>
    <s v="Dezembro"/>
    <x v="0"/>
    <x v="5"/>
    <s v=""/>
    <s v="Pix"/>
    <n v="20"/>
  </r>
  <r>
    <d v="2025-12-03T00:00:00"/>
    <n v="2025"/>
    <s v="dez"/>
    <s v="Dezembro"/>
    <x v="0"/>
    <x v="10"/>
    <s v=""/>
    <s v="Rateio"/>
    <n v="80"/>
  </r>
  <r>
    <d v="2025-12-03T00:00:00"/>
    <n v="2025"/>
    <s v="dez"/>
    <s v="Dezembro"/>
    <x v="2"/>
    <x v="2"/>
    <s v=""/>
    <s v="FII"/>
    <n v="1464.32"/>
  </r>
  <r>
    <d v="2025-12-04T00:00:00"/>
    <n v="2025"/>
    <s v="dez"/>
    <s v="Dezembro"/>
    <x v="0"/>
    <x v="0"/>
    <s v=""/>
    <s v="Mercadinho"/>
    <n v="28.98"/>
  </r>
  <r>
    <d v="2025-12-05T00:00:00"/>
    <n v="2025"/>
    <s v="dez"/>
    <s v="Dezembro"/>
    <x v="0"/>
    <x v="5"/>
    <s v=""/>
    <s v="Acessórios Diversos"/>
    <n v="126.89"/>
  </r>
  <r>
    <d v="2025-12-06T00:00:00"/>
    <n v="2025"/>
    <s v="dez"/>
    <s v="Dezembro"/>
    <x v="0"/>
    <x v="3"/>
    <s v=""/>
    <s v="Uber/táxi"/>
    <n v="26.51"/>
  </r>
  <r>
    <d v="2025-12-06T00:00:00"/>
    <n v="2025"/>
    <s v="dez"/>
    <s v="Dezembro"/>
    <x v="0"/>
    <x v="3"/>
    <s v=""/>
    <s v="Uber/táxi"/>
    <n v="112.06"/>
  </r>
  <r>
    <d v="2025-12-06T00:00:00"/>
    <n v="2025"/>
    <s v="dez"/>
    <s v="Dezembro"/>
    <x v="0"/>
    <x v="3"/>
    <s v=""/>
    <s v="Uber/táxi"/>
    <n v="40.950000000000003"/>
  </r>
  <r>
    <d v="2025-12-06T00:00:00"/>
    <n v="2025"/>
    <s v="dez"/>
    <s v="Dezembro"/>
    <x v="0"/>
    <x v="0"/>
    <s v=""/>
    <s v="Mercado"/>
    <n v="322.32"/>
  </r>
  <r>
    <d v="2025-12-06T00:00:00"/>
    <n v="2025"/>
    <s v="dez"/>
    <s v="Dezembro"/>
    <x v="0"/>
    <x v="5"/>
    <s v=""/>
    <s v="Balada"/>
    <n v="45.2"/>
  </r>
  <r>
    <d v="2025-12-07T00:00:00"/>
    <n v="2025"/>
    <s v="dez"/>
    <s v="Dezembro"/>
    <x v="0"/>
    <x v="3"/>
    <s v=""/>
    <s v="Uber/táxi"/>
    <n v="46.07"/>
  </r>
  <r>
    <d v="2025-12-07T00:00:00"/>
    <n v="2025"/>
    <s v="dez"/>
    <s v="Dezembro"/>
    <x v="0"/>
    <x v="0"/>
    <s v=""/>
    <s v="Delivery"/>
    <n v="169.28"/>
  </r>
  <r>
    <d v="2025-12-08T00:00:00"/>
    <n v="2025"/>
    <s v="dez"/>
    <s v="Dezembro"/>
    <x v="1"/>
    <x v="5"/>
    <s v="Outras Receitas"/>
    <s v="Role"/>
    <n v="80.58"/>
  </r>
  <r>
    <d v="2025-12-09T00:00:00"/>
    <n v="2025"/>
    <s v="dez"/>
    <s v="Dezembro"/>
    <x v="0"/>
    <x v="0"/>
    <s v=""/>
    <s v="Delivery"/>
    <n v="57.89"/>
  </r>
  <r>
    <d v="2025-12-10T00:00:00"/>
    <n v="2025"/>
    <s v="dez"/>
    <s v="Dezembro"/>
    <x v="2"/>
    <x v="8"/>
    <s v=""/>
    <s v="Parcela apto"/>
    <n v="1613.74"/>
  </r>
  <r>
    <d v="2025-12-12T00:00:00"/>
    <n v="2025"/>
    <s v="dez"/>
    <s v="Dezembro"/>
    <x v="0"/>
    <x v="0"/>
    <s v=""/>
    <s v="Mercado"/>
    <n v="53.39"/>
  </r>
  <r>
    <d v="2025-12-12T00:00:00"/>
    <n v="2025"/>
    <s v="dez"/>
    <s v="Dezembro"/>
    <x v="0"/>
    <x v="5"/>
    <s v=""/>
    <s v="Bar"/>
    <n v="32.83"/>
  </r>
  <r>
    <d v="2025-12-14T00:00:00"/>
    <n v="2025"/>
    <s v="dez"/>
    <s v="Dezembro"/>
    <x v="0"/>
    <x v="9"/>
    <s v=""/>
    <s v="Farmácia"/>
    <n v="85.89"/>
  </r>
  <r>
    <d v="2025-12-15T00:00:00"/>
    <n v="2025"/>
    <s v="dez"/>
    <s v="Dezembro"/>
    <x v="0"/>
    <x v="5"/>
    <s v=""/>
    <s v="Role"/>
    <n v="159.63"/>
  </r>
  <r>
    <d v="2025-12-15T00:00:00"/>
    <n v="2025"/>
    <s v="dez"/>
    <s v="Dezembro"/>
    <x v="0"/>
    <x v="12"/>
    <s v=""/>
    <s v="Roupas"/>
    <n v="126.01"/>
  </r>
  <r>
    <d v="2025-12-15T00:00:00"/>
    <n v="2025"/>
    <s v="dez"/>
    <s v="Dezembro"/>
    <x v="0"/>
    <x v="12"/>
    <s v=""/>
    <s v="Roupas"/>
    <n v="296.58"/>
  </r>
  <r>
    <d v="2025-12-15T00:00:00"/>
    <n v="2025"/>
    <s v="dez"/>
    <s v="Dezembro"/>
    <x v="2"/>
    <x v="2"/>
    <s v=""/>
    <s v="Renda variável"/>
    <n v="2060.86"/>
  </r>
  <r>
    <d v="2025-12-15T00:00:00"/>
    <n v="2025"/>
    <s v="dez"/>
    <s v="Dezembro"/>
    <x v="2"/>
    <x v="2"/>
    <s v=""/>
    <s v="Rendimentos/Dividendos"/>
    <n v="10.029999999999999"/>
  </r>
  <r>
    <d v="2025-12-17T00:00:00"/>
    <n v="2025"/>
    <s v="dez"/>
    <s v="Dezembro"/>
    <x v="0"/>
    <x v="0"/>
    <s v=""/>
    <s v="Mercadinho"/>
    <n v="6"/>
  </r>
  <r>
    <d v="2025-12-18T00:00:00"/>
    <n v="2025"/>
    <s v="dez"/>
    <s v="Dezembro"/>
    <x v="0"/>
    <x v="0"/>
    <s v=""/>
    <s v="Restaurante"/>
    <n v="37.9"/>
  </r>
  <r>
    <d v="2025-12-18T00:00:00"/>
    <n v="2025"/>
    <s v="dez"/>
    <s v="Dezembro"/>
    <x v="0"/>
    <x v="6"/>
    <s v=""/>
    <s v="Seguro"/>
    <n v="9.99"/>
  </r>
  <r>
    <d v="2025-12-18T00:00:00"/>
    <n v="2025"/>
    <s v="dez"/>
    <s v="Dezembro"/>
    <x v="0"/>
    <x v="5"/>
    <s v=""/>
    <s v="Pix"/>
    <n v="200"/>
  </r>
  <r>
    <d v="2025-12-19T00:00:00"/>
    <n v="2025"/>
    <s v="dez"/>
    <s v="Dezembro"/>
    <x v="0"/>
    <x v="5"/>
    <s v=""/>
    <s v="Acessórios Diversos"/>
    <n v="42"/>
  </r>
  <r>
    <d v="2025-12-19T00:00:00"/>
    <n v="2025"/>
    <s v="dez"/>
    <s v="Dezembro"/>
    <x v="1"/>
    <x v="1"/>
    <s v="Outras Receitas"/>
    <s v="13o"/>
    <n v="1099.02"/>
  </r>
  <r>
    <d v="2025-12-19T00:00:00"/>
    <n v="2025"/>
    <s v="dez"/>
    <s v="Dezembro"/>
    <x v="2"/>
    <x v="2"/>
    <s v=""/>
    <s v="Previdência Privada"/>
    <n v="252"/>
  </r>
  <r>
    <d v="2025-12-20T00:00:00"/>
    <n v="2025"/>
    <s v="dez"/>
    <s v="Dezembro"/>
    <x v="0"/>
    <x v="5"/>
    <s v=""/>
    <s v="Bar"/>
    <n v="200"/>
  </r>
  <r>
    <d v="2025-12-21T00:00:00"/>
    <n v="2025"/>
    <s v="dez"/>
    <s v="Dezembro"/>
    <x v="0"/>
    <x v="5"/>
    <s v=""/>
    <s v="Bar"/>
    <n v="50"/>
  </r>
  <r>
    <d v="2025-12-21T00:00:00"/>
    <n v="2025"/>
    <s v="dez"/>
    <s v="Dezembro"/>
    <x v="0"/>
    <x v="3"/>
    <s v=""/>
    <s v="Uber/táxi"/>
    <n v="35.58"/>
  </r>
  <r>
    <d v="2025-12-21T00:00:00"/>
    <n v="2025"/>
    <s v="dez"/>
    <s v="Dezembro"/>
    <x v="0"/>
    <x v="0"/>
    <s v=""/>
    <s v="Delivery"/>
    <n v="110.51"/>
  </r>
  <r>
    <d v="2025-12-22T00:00:00"/>
    <n v="2025"/>
    <s v="dez"/>
    <s v="Dezembro"/>
    <x v="0"/>
    <x v="0"/>
    <s v=""/>
    <s v="Mercadinho"/>
    <n v="20"/>
  </r>
  <r>
    <d v="2025-12-23T00:00:00"/>
    <n v="2025"/>
    <s v="dez"/>
    <s v="Dezembro"/>
    <x v="0"/>
    <x v="7"/>
    <s v=""/>
    <s v="Barbearia"/>
    <n v="105"/>
  </r>
  <r>
    <d v="2025-12-23T00:00:00"/>
    <n v="2025"/>
    <s v="dez"/>
    <s v="Dezembro"/>
    <x v="2"/>
    <x v="2"/>
    <s v=""/>
    <s v="Renda Fixa"/>
    <n v="6.91"/>
  </r>
  <r>
    <d v="2025-12-25T00:00:00"/>
    <n v="2025"/>
    <s v="dez"/>
    <s v="Dezembro"/>
    <x v="0"/>
    <x v="0"/>
    <s v=""/>
    <s v="Delivery"/>
    <n v="166.17"/>
  </r>
  <r>
    <d v="2025-12-26T00:00:00"/>
    <n v="2025"/>
    <s v="dez"/>
    <s v="Dezembro"/>
    <x v="0"/>
    <x v="5"/>
    <s v=""/>
    <s v="Videogames"/>
    <n v="9.99"/>
  </r>
  <r>
    <d v="2025-12-27T00:00:00"/>
    <n v="2025"/>
    <s v="dez"/>
    <s v="Dezembro"/>
    <x v="0"/>
    <x v="3"/>
    <s v=""/>
    <s v="Estacionamento"/>
    <n v="30"/>
  </r>
  <r>
    <d v="2025-12-28T00:00:00"/>
    <n v="2025"/>
    <s v="dez"/>
    <s v="Dezembro"/>
    <x v="0"/>
    <x v="0"/>
    <s v=""/>
    <s v="Restaurante"/>
    <n v="21.01"/>
  </r>
  <r>
    <d v="2025-12-28T00:00:00"/>
    <n v="2025"/>
    <s v="dez"/>
    <s v="Dezembro"/>
    <x v="0"/>
    <x v="12"/>
    <s v=""/>
    <s v="Roupas"/>
    <n v="59.9"/>
  </r>
  <r>
    <d v="2025-12-30T00:00:00"/>
    <n v="2025"/>
    <s v="dez"/>
    <s v="Dezembro"/>
    <x v="1"/>
    <x v="1"/>
    <s v="Salário"/>
    <s v="Salário"/>
    <n v="5087.8100000000004"/>
  </r>
  <r>
    <d v="2025-12-30T00:00:00"/>
    <n v="2025"/>
    <s v="dez"/>
    <s v="Dezembro"/>
    <x v="2"/>
    <x v="2"/>
    <s v=""/>
    <s v="Previdência Privada"/>
    <n v="252"/>
  </r>
  <r>
    <d v="2026-01-02T00:00:00"/>
    <n v="2026"/>
    <s v="jan"/>
    <s v="Janeiro"/>
    <x v="0"/>
    <x v="10"/>
    <s v=""/>
    <s v="IA"/>
    <n v="99.9"/>
  </r>
  <r>
    <d v="2026-01-02T00:00:00"/>
    <n v="2026"/>
    <s v="jan"/>
    <s v="Janeiro"/>
    <x v="0"/>
    <x v="6"/>
    <s v=""/>
    <s v="IOF"/>
    <n v="3.5"/>
  </r>
  <r>
    <d v="2026-01-03T00:00:00"/>
    <n v="2026"/>
    <s v="jan"/>
    <s v="Janeiro"/>
    <x v="0"/>
    <x v="10"/>
    <s v=""/>
    <s v="Rateio"/>
    <n v="80"/>
  </r>
  <r>
    <d v="2026-01-03T00:00:00"/>
    <n v="2026"/>
    <s v="jan"/>
    <s v="Janeiro"/>
    <x v="0"/>
    <x v="0"/>
    <s v=""/>
    <s v="Mercado"/>
    <n v="148.25"/>
  </r>
  <r>
    <d v="2026-01-03T00:00:00"/>
    <n v="2026"/>
    <s v="jan"/>
    <s v="Janeiro"/>
    <x v="0"/>
    <x v="3"/>
    <s v=""/>
    <s v="Uber/táxi"/>
    <n v="53.96"/>
  </r>
  <r>
    <d v="2026-01-04T00:00:00"/>
    <n v="2026"/>
    <s v="jan"/>
    <s v="Janeiro"/>
    <x v="0"/>
    <x v="3"/>
    <s v=""/>
    <s v="Uber/táxi"/>
    <n v="38.57"/>
  </r>
  <r>
    <d v="2026-01-04T00:00:00"/>
    <n v="2026"/>
    <s v="jan"/>
    <s v="Janeiro"/>
    <x v="0"/>
    <x v="0"/>
    <s v=""/>
    <s v="Restaurante"/>
    <n v="24.9"/>
  </r>
  <r>
    <d v="2026-01-05T00:00:00"/>
    <n v="2026"/>
    <s v="jan"/>
    <s v="Janeiro"/>
    <x v="1"/>
    <x v="1"/>
    <s v="Outras Receitas"/>
    <s v="VA"/>
    <n v="1500"/>
  </r>
  <r>
    <d v="2026-01-05T00:00:00"/>
    <n v="2026"/>
    <s v="jan"/>
    <s v="Janeiro"/>
    <x v="0"/>
    <x v="5"/>
    <s v=""/>
    <s v="Role"/>
    <n v="300"/>
  </r>
  <r>
    <d v="2026-01-09T00:00:00"/>
    <n v="2026"/>
    <s v="jan"/>
    <s v="Janeiro"/>
    <x v="0"/>
    <x v="3"/>
    <s v=""/>
    <s v="Uber/táxi"/>
    <n v="40.24"/>
  </r>
  <r>
    <d v="2026-01-09T00:00:00"/>
    <n v="2026"/>
    <s v="jan"/>
    <s v="Janeiro"/>
    <x v="0"/>
    <x v="5"/>
    <s v=""/>
    <s v="Banca"/>
    <n v="120"/>
  </r>
  <r>
    <d v="2026-01-10T00:00:00"/>
    <n v="2026"/>
    <s v="jan"/>
    <s v="Janeiro"/>
    <x v="0"/>
    <x v="5"/>
    <s v=""/>
    <s v="Balada"/>
    <n v="54"/>
  </r>
  <r>
    <d v="2026-01-10T00:00:00"/>
    <n v="2026"/>
    <s v="jan"/>
    <s v="Janeiro"/>
    <x v="0"/>
    <x v="0"/>
    <s v=""/>
    <s v="Restaurante"/>
    <n v="19.989999999999998"/>
  </r>
  <r>
    <d v="2026-01-10T00:00:00"/>
    <n v="2026"/>
    <s v="jan"/>
    <s v="Janeiro"/>
    <x v="0"/>
    <x v="5"/>
    <s v=""/>
    <s v="Acessórios Diversos"/>
    <n v="199.99"/>
  </r>
  <r>
    <d v="2026-01-10T00:00:00"/>
    <n v="2026"/>
    <s v="jan"/>
    <s v="Janeiro"/>
    <x v="0"/>
    <x v="0"/>
    <s v=""/>
    <s v="Restaurante"/>
    <n v="43.9"/>
  </r>
  <r>
    <d v="2026-01-10T00:00:00"/>
    <n v="2026"/>
    <s v="jan"/>
    <s v="Janeiro"/>
    <x v="0"/>
    <x v="3"/>
    <s v=""/>
    <s v="Uber/táxi"/>
    <n v="31.45"/>
  </r>
  <r>
    <d v="2026-01-12T00:00:00"/>
    <n v="2026"/>
    <s v="jan"/>
    <s v="Janeiro"/>
    <x v="1"/>
    <x v="1"/>
    <s v="Outras Receitas"/>
    <s v="Reembolso"/>
    <n v="135.28"/>
  </r>
  <r>
    <d v="2026-01-12T00:00:00"/>
    <n v="2026"/>
    <s v="jan"/>
    <s v="Janeiro"/>
    <x v="1"/>
    <x v="5"/>
    <s v="Outras Receitas"/>
    <s v="Role"/>
    <n v="100"/>
  </r>
  <r>
    <d v="2026-01-12T00:00:00"/>
    <n v="2026"/>
    <s v="jan"/>
    <s v="Janeiro"/>
    <x v="2"/>
    <x v="8"/>
    <s v=""/>
    <s v="Parcela apto"/>
    <n v="2350.3000000000002"/>
  </r>
  <r>
    <d v="2026-01-12T00:00:00"/>
    <n v="2026"/>
    <s v="jan"/>
    <s v="Janeiro"/>
    <x v="0"/>
    <x v="6"/>
    <s v=""/>
    <s v="-"/>
    <n v="89.99"/>
  </r>
  <r>
    <d v="2026-01-13T00:00:00"/>
    <n v="2026"/>
    <s v="jan"/>
    <s v="Janeiro"/>
    <x v="0"/>
    <x v="0"/>
    <s v=""/>
    <s v="Restaurante"/>
    <n v="37.4"/>
  </r>
  <r>
    <d v="2026-01-13T00:00:00"/>
    <n v="2026"/>
    <s v="jan"/>
    <s v="Janeiro"/>
    <x v="0"/>
    <x v="5"/>
    <s v=""/>
    <s v="Acessórios Diversos"/>
    <n v="55.79"/>
  </r>
  <r>
    <d v="2026-01-15T00:00:00"/>
    <n v="2026"/>
    <s v="jan"/>
    <s v="Janeiro"/>
    <x v="0"/>
    <x v="5"/>
    <s v=""/>
    <s v="Role"/>
    <n v="159.63"/>
  </r>
  <r>
    <d v="2026-01-15T00:00:00"/>
    <n v="2026"/>
    <s v="jan"/>
    <s v="Janeiro"/>
    <x v="0"/>
    <x v="12"/>
    <s v=""/>
    <s v="Roupas"/>
    <n v="296.58"/>
  </r>
  <r>
    <d v="2026-01-15T00:00:00"/>
    <n v="2026"/>
    <s v="jan"/>
    <s v="Janeiro"/>
    <x v="0"/>
    <x v="12"/>
    <s v=""/>
    <s v="Roupas"/>
    <n v="126.01"/>
  </r>
  <r>
    <d v="2026-01-16T00:00:00"/>
    <n v="2026"/>
    <s v="jan"/>
    <s v="Janeiro"/>
    <x v="0"/>
    <x v="3"/>
    <s v=""/>
    <s v="Uber/táxi"/>
    <n v="77.959999999999994"/>
  </r>
  <r>
    <d v="2026-01-16T00:00:00"/>
    <n v="2026"/>
    <s v="jan"/>
    <s v="Janeiro"/>
    <x v="2"/>
    <x v="2"/>
    <s v=""/>
    <s v="Rendimentos/Dividendos"/>
    <n v="11.09"/>
  </r>
  <r>
    <d v="2026-01-16T00:00:00"/>
    <n v="2026"/>
    <s v="jan"/>
    <s v="Janeiro"/>
    <x v="0"/>
    <x v="5"/>
    <s v=""/>
    <s v="Role"/>
    <n v="50"/>
  </r>
  <r>
    <d v="2026-01-17T00:00:00"/>
    <n v="2026"/>
    <s v="jan"/>
    <s v="Janeiro"/>
    <x v="0"/>
    <x v="5"/>
    <s v=""/>
    <s v="Bar"/>
    <n v="127.58"/>
  </r>
  <r>
    <d v="2026-01-17T00:00:00"/>
    <n v="2026"/>
    <s v="jan"/>
    <s v="Janeiro"/>
    <x v="0"/>
    <x v="5"/>
    <s v=""/>
    <s v="Bar"/>
    <n v="14.3"/>
  </r>
  <r>
    <d v="2026-01-17T00:00:00"/>
    <n v="2026"/>
    <s v="jan"/>
    <s v="Janeiro"/>
    <x v="0"/>
    <x v="0"/>
    <s v=""/>
    <s v="Restaurante"/>
    <n v="69.3"/>
  </r>
  <r>
    <d v="2026-01-18T00:00:00"/>
    <n v="2026"/>
    <s v="jan"/>
    <s v="Janeiro"/>
    <x v="0"/>
    <x v="0"/>
    <s v=""/>
    <s v="Restaurante"/>
    <n v="101.5"/>
  </r>
  <r>
    <d v="2026-01-18T00:00:00"/>
    <n v="2026"/>
    <s v="jan"/>
    <s v="Janeiro"/>
    <x v="0"/>
    <x v="3"/>
    <s v=""/>
    <s v="Uber/táxi"/>
    <n v="81.94"/>
  </r>
  <r>
    <d v="2026-01-18T00:00:00"/>
    <n v="2026"/>
    <s v="jan"/>
    <s v="Janeiro"/>
    <x v="0"/>
    <x v="5"/>
    <s v=""/>
    <s v="Bar"/>
    <n v="59.89"/>
  </r>
  <r>
    <d v="2026-01-19T00:00:00"/>
    <n v="2026"/>
    <s v="jan"/>
    <s v="Janeiro"/>
    <x v="0"/>
    <x v="4"/>
    <s v=""/>
    <s v="Cursos"/>
    <n v="120"/>
  </r>
  <r>
    <d v="2026-01-19T00:00:00"/>
    <n v="2026"/>
    <s v="jan"/>
    <s v="Janeiro"/>
    <x v="2"/>
    <x v="2"/>
    <s v=""/>
    <s v="Rendimentos/Dividendos"/>
    <n v="0.02"/>
  </r>
  <r>
    <d v="2026-01-20T00:00:00"/>
    <n v="2026"/>
    <s v="jan"/>
    <s v="Janeiro"/>
    <x v="0"/>
    <x v="6"/>
    <s v=""/>
    <s v="Seguro"/>
    <n v="9.99"/>
  </r>
  <r>
    <d v="2026-01-22T00:00:00"/>
    <n v="2026"/>
    <s v="jan"/>
    <s v="Janeiro"/>
    <x v="0"/>
    <x v="0"/>
    <s v=""/>
    <s v="Delivery"/>
    <n v="170.58"/>
  </r>
  <r>
    <d v="2026-01-23T00:00:00"/>
    <n v="2026"/>
    <s v="jan"/>
    <s v="Janeiro"/>
    <x v="2"/>
    <x v="2"/>
    <s v=""/>
    <s v="Rendimentos/Dividendos"/>
    <n v="6.44"/>
  </r>
  <r>
    <d v="2026-01-24T00:00:00"/>
    <n v="2026"/>
    <s v="jan"/>
    <s v="Janeiro"/>
    <x v="0"/>
    <x v="0"/>
    <s v=""/>
    <s v="Restaurante"/>
    <n v="95.7"/>
  </r>
  <r>
    <d v="2026-01-24T00:00:00"/>
    <n v="2026"/>
    <s v="jan"/>
    <s v="Janeiro"/>
    <x v="0"/>
    <x v="0"/>
    <s v=""/>
    <s v="Mercado"/>
    <n v="501.74"/>
  </r>
  <r>
    <d v="2026-01-26T00:00:00"/>
    <n v="2026"/>
    <s v="jan"/>
    <s v="Janeiro"/>
    <x v="1"/>
    <x v="5"/>
    <s v="Outras Receitas"/>
    <s v="Role"/>
    <n v="71.67"/>
  </r>
  <r>
    <d v="2026-01-26T00:00:00"/>
    <n v="2026"/>
    <s v="jan"/>
    <s v="Janeiro"/>
    <x v="1"/>
    <x v="5"/>
    <s v="Outras Receitas"/>
    <s v="Role"/>
    <n v="72"/>
  </r>
  <r>
    <d v="2026-01-26T00:00:00"/>
    <n v="2026"/>
    <s v="jan"/>
    <s v="Janeiro"/>
    <x v="1"/>
    <x v="5"/>
    <s v="Outras Receitas"/>
    <s v="Role"/>
    <n v="71.67"/>
  </r>
  <r>
    <d v="2026-01-26T00:00:00"/>
    <n v="2026"/>
    <s v="jan"/>
    <s v="Janeiro"/>
    <x v="1"/>
    <x v="5"/>
    <s v="Outras Receitas"/>
    <s v="Role"/>
    <n v="71.67"/>
  </r>
  <r>
    <d v="2026-01-29T00:00:00"/>
    <n v="2026"/>
    <s v="jan"/>
    <s v="Janeiro"/>
    <x v="1"/>
    <x v="1"/>
    <s v="Salário"/>
    <s v="Salário"/>
    <n v="5208.1499999999996"/>
  </r>
  <r>
    <d v="2026-01-29T00:00:00"/>
    <n v="2026"/>
    <s v="jan"/>
    <s v="Janeiro"/>
    <x v="2"/>
    <x v="2"/>
    <s v=""/>
    <s v="Previdência Privada"/>
    <n v="252"/>
  </r>
  <r>
    <d v="2026-01-29T00:00:00"/>
    <n v="2026"/>
    <s v="jan"/>
    <s v="Janeiro"/>
    <x v="0"/>
    <x v="0"/>
    <s v=""/>
    <s v="Mercadinho"/>
    <n v="7.5"/>
  </r>
  <r>
    <d v="2026-01-30T00:00:00"/>
    <n v="2026"/>
    <s v="jan"/>
    <s v="Janeiro"/>
    <x v="0"/>
    <x v="5"/>
    <s v=""/>
    <s v="Role"/>
    <n v="10"/>
  </r>
  <r>
    <d v="2026-01-30T00:00:00"/>
    <n v="2026"/>
    <s v="jan"/>
    <s v="Janeiro"/>
    <x v="0"/>
    <x v="0"/>
    <s v=""/>
    <s v="Restaurante"/>
    <n v="318.49"/>
  </r>
  <r>
    <d v="2026-02-02T00:00:00"/>
    <n v="2026"/>
    <s v="fev"/>
    <s v="Fevereiro"/>
    <x v="0"/>
    <x v="10"/>
    <s v=""/>
    <s v="IA"/>
    <n v="99.9"/>
  </r>
  <r>
    <d v="2026-02-02T00:00:00"/>
    <n v="2026"/>
    <s v="fev"/>
    <s v="Fevereiro"/>
    <x v="2"/>
    <x v="2"/>
    <s v=""/>
    <s v="Rendimentos/Dividendos"/>
    <n v="0.55000000000000004"/>
  </r>
  <r>
    <d v="2026-02-03T00:00:00"/>
    <n v="2026"/>
    <s v="fev"/>
    <s v="Fevereiro"/>
    <x v="0"/>
    <x v="10"/>
    <s v=""/>
    <s v="Rateio"/>
    <n v="80"/>
  </r>
  <r>
    <d v="2026-02-03T00:00:00"/>
    <n v="2026"/>
    <s v="fev"/>
    <s v="Fevereiro"/>
    <x v="0"/>
    <x v="6"/>
    <s v=""/>
    <s v="IOF"/>
    <n v="3.5"/>
  </r>
  <r>
    <d v="2026-02-03T00:00:00"/>
    <n v="2026"/>
    <s v="fev"/>
    <s v="Fevereiro"/>
    <x v="2"/>
    <x v="2"/>
    <s v=""/>
    <s v="Rendimentos/Dividendos"/>
    <n v="0.01"/>
  </r>
  <r>
    <d v="2026-02-03T00:00:00"/>
    <n v="2026"/>
    <s v="fev"/>
    <s v="Fevereiro"/>
    <x v="0"/>
    <x v="5"/>
    <s v=""/>
    <s v="Role"/>
    <n v="710"/>
  </r>
  <r>
    <d v="2026-02-04T00:00:00"/>
    <n v="2026"/>
    <s v="fev"/>
    <s v="Fevereiro"/>
    <x v="1"/>
    <x v="5"/>
    <s v="Outras Receitas"/>
    <s v="Role"/>
    <n v="370"/>
  </r>
  <r>
    <d v="2026-02-04T00:00:00"/>
    <n v="2026"/>
    <s v="fev"/>
    <s v="Fevereiro"/>
    <x v="1"/>
    <x v="5"/>
    <s v="Outras Receitas"/>
    <s v="Role"/>
    <n v="370"/>
  </r>
  <r>
    <d v="2026-02-05T00:00:00"/>
    <n v="2026"/>
    <s v="fev"/>
    <s v="Fevereiro"/>
    <x v="0"/>
    <x v="7"/>
    <s v=""/>
    <s v="Barbearia"/>
    <n v="19.989999999999998"/>
  </r>
  <r>
    <d v="2026-02-05T00:00:00"/>
    <n v="2026"/>
    <s v="fev"/>
    <s v="Fevereiro"/>
    <x v="0"/>
    <x v="0"/>
    <s v=""/>
    <s v="Mercadinho"/>
    <n v="100"/>
  </r>
  <r>
    <d v="2026-02-06T00:00:00"/>
    <n v="2026"/>
    <s v="fev"/>
    <s v="Fevereiro"/>
    <x v="2"/>
    <x v="2"/>
    <s v=""/>
    <s v="Rendimentos/Dividendos"/>
    <n v="4.05"/>
  </r>
  <r>
    <d v="2026-02-06T00:00:00"/>
    <n v="2026"/>
    <s v="fev"/>
    <s v="Fevereiro"/>
    <x v="2"/>
    <x v="2"/>
    <s v=""/>
    <s v="Rendimentos/Dividendos"/>
    <n v="0.01"/>
  </r>
  <r>
    <d v="2026-02-06T00:00:00"/>
    <n v="2026"/>
    <s v="fev"/>
    <s v="Fevereiro"/>
    <x v="0"/>
    <x v="5"/>
    <s v=""/>
    <s v="Show"/>
    <n v="250"/>
  </r>
  <r>
    <d v="2026-02-06T00:00:00"/>
    <n v="2026"/>
    <s v="fev"/>
    <s v="Fevereiro"/>
    <x v="0"/>
    <x v="5"/>
    <s v=""/>
    <s v="Pix"/>
    <n v="60"/>
  </r>
  <r>
    <d v="2026-02-07T00:00:00"/>
    <n v="2026"/>
    <s v="fev"/>
    <s v="Fevereiro"/>
    <x v="0"/>
    <x v="0"/>
    <s v=""/>
    <s v="Restaurante"/>
    <n v="277.33999999999997"/>
  </r>
  <r>
    <d v="2026-02-07T00:00:00"/>
    <n v="2026"/>
    <s v="fev"/>
    <s v="Fevereiro"/>
    <x v="0"/>
    <x v="3"/>
    <s v=""/>
    <s v="Uber/táxi"/>
    <n v="74.94"/>
  </r>
  <r>
    <d v="2026-02-09T00:00:00"/>
    <n v="2026"/>
    <s v="fev"/>
    <s v="Fevereiro"/>
    <x v="1"/>
    <x v="1"/>
    <s v="Outras Receitas"/>
    <s v="VA"/>
    <n v="924"/>
  </r>
  <r>
    <d v="2026-02-09T00:00:00"/>
    <n v="2026"/>
    <s v="fev"/>
    <s v="Fevereiro"/>
    <x v="0"/>
    <x v="5"/>
    <s v=""/>
    <s v="Acessórios Diversos"/>
    <n v="59.3"/>
  </r>
  <r>
    <d v="2026-02-10T00:00:00"/>
    <n v="2026"/>
    <s v="fev"/>
    <s v="Fevereiro"/>
    <x v="2"/>
    <x v="2"/>
    <s v=""/>
    <s v="Rendimentos/Dividendos"/>
    <n v="0.17"/>
  </r>
  <r>
    <d v="2026-02-10T00:00:00"/>
    <n v="2026"/>
    <s v="fev"/>
    <s v="Fevereiro"/>
    <x v="2"/>
    <x v="8"/>
    <s v=""/>
    <s v="Parcela apto"/>
    <n v="2355.2399999999998"/>
  </r>
  <r>
    <d v="2026-02-10T00:00:00"/>
    <n v="2026"/>
    <s v="fev"/>
    <s v="Fevereiro"/>
    <x v="0"/>
    <x v="6"/>
    <s v=""/>
    <s v="-"/>
    <n v="89.99"/>
  </r>
  <r>
    <d v="2026-02-11T00:00:00"/>
    <n v="2026"/>
    <s v="fev"/>
    <s v="Fevereiro"/>
    <x v="2"/>
    <x v="2"/>
    <s v=""/>
    <s v="Rendimentos/Dividendos"/>
    <n v="0.01"/>
  </r>
  <r>
    <d v="2026-02-11T00:00:00"/>
    <n v="2026"/>
    <s v="fev"/>
    <s v="Fevereiro"/>
    <x v="2"/>
    <x v="2"/>
    <s v=""/>
    <s v="Renda Fixa"/>
    <n v="500"/>
  </r>
  <r>
    <d v="2026-02-12T00:00:00"/>
    <n v="2026"/>
    <s v="fev"/>
    <s v="Fevereiro"/>
    <x v="0"/>
    <x v="5"/>
    <s v=""/>
    <s v="Acessórios Diversos"/>
    <n v="31.5"/>
  </r>
  <r>
    <d v="2026-02-12T00:00:00"/>
    <n v="2026"/>
    <s v="fev"/>
    <s v="Fevereiro"/>
    <x v="0"/>
    <x v="12"/>
    <s v=""/>
    <s v="Acessórios"/>
    <n v="19.989999999999998"/>
  </r>
  <r>
    <d v="2026-02-13T00:00:00"/>
    <n v="2026"/>
    <s v="fev"/>
    <s v="Fevereiro"/>
    <x v="0"/>
    <x v="6"/>
    <s v=""/>
    <s v="Seguro"/>
    <n v="9.99"/>
  </r>
  <r>
    <d v="2026-02-14T00:00:00"/>
    <n v="2026"/>
    <s v="fev"/>
    <s v="Fevereiro"/>
    <x v="0"/>
    <x v="5"/>
    <s v=""/>
    <s v="Balada"/>
    <n v="144.91999999999999"/>
  </r>
  <r>
    <d v="2026-02-14T00:00:00"/>
    <n v="2026"/>
    <s v="fev"/>
    <s v="Fevereiro"/>
    <x v="0"/>
    <x v="5"/>
    <s v=""/>
    <s v="Bar"/>
    <n v="123.2"/>
  </r>
  <r>
    <d v="2026-02-14T00:00:00"/>
    <n v="2026"/>
    <s v="fev"/>
    <s v="Fevereiro"/>
    <x v="0"/>
    <x v="0"/>
    <s v=""/>
    <s v="Restaurante"/>
    <n v="87.8"/>
  </r>
  <r>
    <d v="2026-02-14T00:00:00"/>
    <n v="2026"/>
    <s v="fev"/>
    <s v="Fevereiro"/>
    <x v="0"/>
    <x v="3"/>
    <s v=""/>
    <s v="Uber/táxi"/>
    <n v="65.930000000000007"/>
  </r>
  <r>
    <d v="2026-02-14T00:00:00"/>
    <n v="2026"/>
    <s v="fev"/>
    <s v="Fevereiro"/>
    <x v="0"/>
    <x v="3"/>
    <s v=""/>
    <s v="Uber/táxi"/>
    <n v="43.07"/>
  </r>
  <r>
    <d v="2026-02-15T00:00:00"/>
    <n v="2026"/>
    <s v="fev"/>
    <s v="Fevereiro"/>
    <x v="0"/>
    <x v="5"/>
    <s v=""/>
    <s v="Role"/>
    <n v="46"/>
  </r>
  <r>
    <d v="2026-02-15T00:00:00"/>
    <n v="2026"/>
    <s v="fev"/>
    <s v="Fevereiro"/>
    <x v="0"/>
    <x v="5"/>
    <s v=""/>
    <s v="Role"/>
    <n v="12"/>
  </r>
  <r>
    <d v="2026-02-15T00:00:00"/>
    <n v="2026"/>
    <s v="fev"/>
    <s v="Fevereiro"/>
    <x v="0"/>
    <x v="5"/>
    <s v=""/>
    <s v="Role"/>
    <n v="50"/>
  </r>
  <r>
    <d v="2026-02-15T00:00:00"/>
    <n v="2026"/>
    <s v="fev"/>
    <s v="Fevereiro"/>
    <x v="0"/>
    <x v="5"/>
    <s v=""/>
    <s v="Role"/>
    <n v="16.97"/>
  </r>
  <r>
    <d v="2026-02-15T00:00:00"/>
    <n v="2026"/>
    <s v="fev"/>
    <s v="Fevereiro"/>
    <x v="0"/>
    <x v="5"/>
    <s v=""/>
    <s v="Role"/>
    <n v="78"/>
  </r>
  <r>
    <d v="2026-02-15T00:00:00"/>
    <n v="2026"/>
    <s v="fev"/>
    <s v="Fevereiro"/>
    <x v="0"/>
    <x v="3"/>
    <s v=""/>
    <s v="Uber/táxi"/>
    <n v="76.930000000000007"/>
  </r>
  <r>
    <d v="2026-02-16T00:00:00"/>
    <n v="2026"/>
    <s v="fev"/>
    <s v="Fevereiro"/>
    <x v="0"/>
    <x v="0"/>
    <s v=""/>
    <s v="Mercado"/>
    <n v="482.2"/>
  </r>
  <r>
    <d v="2026-02-16T00:00:00"/>
    <n v="2026"/>
    <s v="fev"/>
    <s v="Fevereiro"/>
    <x v="0"/>
    <x v="5"/>
    <s v=""/>
    <s v="Role"/>
    <n v="159.63999999999999"/>
  </r>
  <r>
    <d v="2026-02-17T00:00:00"/>
    <n v="2026"/>
    <s v="fev"/>
    <s v="Fevereiro"/>
    <x v="0"/>
    <x v="0"/>
    <s v=""/>
    <s v="Delivery"/>
    <n v="59.93"/>
  </r>
  <r>
    <d v="2026-02-18T00:00:00"/>
    <n v="2026"/>
    <s v="fev"/>
    <s v="Fevereiro"/>
    <x v="1"/>
    <x v="5"/>
    <s v="Outras Receitas"/>
    <s v="Pix"/>
    <n v="95"/>
  </r>
  <r>
    <d v="2026-02-18T00:00:00"/>
    <n v="2026"/>
    <s v="fev"/>
    <s v="Fevereiro"/>
    <x v="1"/>
    <x v="5"/>
    <s v="Outras Receitas"/>
    <s v="Pix"/>
    <n v="95"/>
  </r>
  <r>
    <d v="2026-02-18T00:00:00"/>
    <n v="2026"/>
    <s v="fev"/>
    <s v="Fevereiro"/>
    <x v="1"/>
    <x v="5"/>
    <s v="Outras Receitas"/>
    <s v="Pix"/>
    <n v="644.1"/>
  </r>
  <r>
    <d v="2026-02-18T00:00:00"/>
    <n v="2026"/>
    <s v="fev"/>
    <s v="Fevereiro"/>
    <x v="1"/>
    <x v="5"/>
    <s v="Outras Receitas"/>
    <s v="Role"/>
    <n v="975"/>
  </r>
  <r>
    <d v="2026-02-18T00:00:00"/>
    <n v="2026"/>
    <s v="fev"/>
    <s v="Fevereiro"/>
    <x v="0"/>
    <x v="5"/>
    <s v=""/>
    <s v="Role"/>
    <n v="925.49"/>
  </r>
  <r>
    <d v="2026-02-18T00:00:00"/>
    <n v="2026"/>
    <s v="fev"/>
    <s v="Fevereiro"/>
    <x v="0"/>
    <x v="5"/>
    <s v=""/>
    <s v="Role"/>
    <n v="273"/>
  </r>
  <r>
    <d v="2026-02-18T00:00:00"/>
    <n v="2026"/>
    <s v="fev"/>
    <s v="Fevereiro"/>
    <x v="0"/>
    <x v="5"/>
    <s v=""/>
    <s v="Pix"/>
    <n v="40"/>
  </r>
  <r>
    <m/>
    <m/>
    <m/>
    <m/>
    <x v="3"/>
    <x v="1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d v="2025-08-22T00:00:00"/>
    <x v="0"/>
    <x v="0"/>
    <x v="0"/>
    <x v="0"/>
    <x v="0"/>
    <x v="0"/>
    <x v="0"/>
    <n v="95.89"/>
  </r>
  <r>
    <d v="2025-08-23T00:00:00"/>
    <x v="0"/>
    <x v="0"/>
    <x v="0"/>
    <x v="0"/>
    <x v="0"/>
    <x v="0"/>
    <x v="0"/>
    <n v="131.97999999999999"/>
  </r>
  <r>
    <d v="2025-08-24T00:00:00"/>
    <x v="0"/>
    <x v="0"/>
    <x v="0"/>
    <x v="0"/>
    <x v="0"/>
    <x v="0"/>
    <x v="0"/>
    <n v="172.98"/>
  </r>
  <r>
    <d v="2025-08-28T00:00:00"/>
    <x v="0"/>
    <x v="0"/>
    <x v="0"/>
    <x v="1"/>
    <x v="1"/>
    <x v="1"/>
    <x v="1"/>
    <n v="4320.2299999999996"/>
  </r>
  <r>
    <d v="2025-08-28T00:00:00"/>
    <x v="0"/>
    <x v="0"/>
    <x v="0"/>
    <x v="2"/>
    <x v="2"/>
    <x v="0"/>
    <x v="2"/>
    <n v="238.46"/>
  </r>
  <r>
    <d v="2025-08-28T00:00:00"/>
    <x v="0"/>
    <x v="0"/>
    <x v="0"/>
    <x v="0"/>
    <x v="3"/>
    <x v="0"/>
    <x v="3"/>
    <n v="600"/>
  </r>
  <r>
    <d v="2025-08-28T00:00:00"/>
    <x v="0"/>
    <x v="0"/>
    <x v="0"/>
    <x v="0"/>
    <x v="4"/>
    <x v="0"/>
    <x v="4"/>
    <n v="500"/>
  </r>
  <r>
    <d v="2025-08-28T00:00:00"/>
    <x v="0"/>
    <x v="0"/>
    <x v="0"/>
    <x v="0"/>
    <x v="5"/>
    <x v="0"/>
    <x v="5"/>
    <n v="123"/>
  </r>
  <r>
    <d v="2025-08-29T00:00:00"/>
    <x v="0"/>
    <x v="0"/>
    <x v="0"/>
    <x v="1"/>
    <x v="5"/>
    <x v="2"/>
    <x v="6"/>
    <n v="32"/>
  </r>
  <r>
    <d v="2025-08-30T00:00:00"/>
    <x v="0"/>
    <x v="0"/>
    <x v="0"/>
    <x v="0"/>
    <x v="3"/>
    <x v="0"/>
    <x v="7"/>
    <n v="16.920000000000002"/>
  </r>
  <r>
    <d v="2025-08-30T00:00:00"/>
    <x v="0"/>
    <x v="0"/>
    <x v="0"/>
    <x v="0"/>
    <x v="0"/>
    <x v="0"/>
    <x v="8"/>
    <n v="34"/>
  </r>
  <r>
    <d v="2025-08-30T00:00:00"/>
    <x v="0"/>
    <x v="0"/>
    <x v="0"/>
    <x v="0"/>
    <x v="0"/>
    <x v="0"/>
    <x v="8"/>
    <n v="22"/>
  </r>
  <r>
    <d v="2025-08-30T00:00:00"/>
    <x v="0"/>
    <x v="0"/>
    <x v="0"/>
    <x v="0"/>
    <x v="3"/>
    <x v="0"/>
    <x v="7"/>
    <n v="58.94"/>
  </r>
  <r>
    <d v="2025-08-30T00:00:00"/>
    <x v="0"/>
    <x v="0"/>
    <x v="0"/>
    <x v="0"/>
    <x v="5"/>
    <x v="0"/>
    <x v="9"/>
    <n v="15"/>
  </r>
  <r>
    <d v="2025-08-31T00:00:00"/>
    <x v="0"/>
    <x v="0"/>
    <x v="0"/>
    <x v="0"/>
    <x v="3"/>
    <x v="0"/>
    <x v="7"/>
    <n v="68.97"/>
  </r>
  <r>
    <d v="2025-08-31T00:00:00"/>
    <x v="0"/>
    <x v="0"/>
    <x v="0"/>
    <x v="0"/>
    <x v="5"/>
    <x v="0"/>
    <x v="9"/>
    <n v="280"/>
  </r>
  <r>
    <d v="2025-09-01T00:00:00"/>
    <x v="0"/>
    <x v="1"/>
    <x v="1"/>
    <x v="1"/>
    <x v="5"/>
    <x v="2"/>
    <x v="6"/>
    <n v="70"/>
  </r>
  <r>
    <d v="2025-09-01T00:00:00"/>
    <x v="0"/>
    <x v="1"/>
    <x v="1"/>
    <x v="0"/>
    <x v="5"/>
    <x v="0"/>
    <x v="10"/>
    <n v="10"/>
  </r>
  <r>
    <d v="2025-09-01T00:00:00"/>
    <x v="0"/>
    <x v="1"/>
    <x v="1"/>
    <x v="0"/>
    <x v="6"/>
    <x v="0"/>
    <x v="11"/>
    <n v="9.99"/>
  </r>
  <r>
    <d v="2025-09-03T00:00:00"/>
    <x v="0"/>
    <x v="1"/>
    <x v="1"/>
    <x v="0"/>
    <x v="0"/>
    <x v="0"/>
    <x v="12"/>
    <n v="22.79"/>
  </r>
  <r>
    <d v="2025-09-06T00:00:00"/>
    <x v="0"/>
    <x v="1"/>
    <x v="1"/>
    <x v="0"/>
    <x v="5"/>
    <x v="0"/>
    <x v="13"/>
    <n v="86"/>
  </r>
  <r>
    <d v="2025-09-06T00:00:00"/>
    <x v="0"/>
    <x v="1"/>
    <x v="1"/>
    <x v="0"/>
    <x v="5"/>
    <x v="0"/>
    <x v="9"/>
    <n v="170"/>
  </r>
  <r>
    <d v="2025-09-09T00:00:00"/>
    <x v="0"/>
    <x v="1"/>
    <x v="1"/>
    <x v="0"/>
    <x v="0"/>
    <x v="0"/>
    <x v="14"/>
    <n v="21"/>
  </r>
  <r>
    <d v="2025-09-10T00:00:00"/>
    <x v="0"/>
    <x v="1"/>
    <x v="1"/>
    <x v="0"/>
    <x v="7"/>
    <x v="0"/>
    <x v="15"/>
    <n v="105"/>
  </r>
  <r>
    <d v="2025-09-13T00:00:00"/>
    <x v="0"/>
    <x v="1"/>
    <x v="1"/>
    <x v="0"/>
    <x v="5"/>
    <x v="0"/>
    <x v="16"/>
    <n v="10"/>
  </r>
  <r>
    <d v="2025-09-13T00:00:00"/>
    <x v="0"/>
    <x v="1"/>
    <x v="1"/>
    <x v="0"/>
    <x v="5"/>
    <x v="0"/>
    <x v="16"/>
    <n v="90"/>
  </r>
  <r>
    <d v="2025-09-13T00:00:00"/>
    <x v="0"/>
    <x v="1"/>
    <x v="1"/>
    <x v="0"/>
    <x v="3"/>
    <x v="0"/>
    <x v="7"/>
    <n v="76.42"/>
  </r>
  <r>
    <d v="2025-09-13T00:00:00"/>
    <x v="0"/>
    <x v="1"/>
    <x v="1"/>
    <x v="0"/>
    <x v="5"/>
    <x v="0"/>
    <x v="9"/>
    <n v="84"/>
  </r>
  <r>
    <d v="2025-09-13T00:00:00"/>
    <x v="0"/>
    <x v="1"/>
    <x v="1"/>
    <x v="0"/>
    <x v="3"/>
    <x v="0"/>
    <x v="7"/>
    <n v="17.829999999999998"/>
  </r>
  <r>
    <d v="2025-09-14T00:00:00"/>
    <x v="0"/>
    <x v="1"/>
    <x v="1"/>
    <x v="0"/>
    <x v="3"/>
    <x v="0"/>
    <x v="7"/>
    <n v="24.27"/>
  </r>
  <r>
    <d v="2025-09-14T00:00:00"/>
    <x v="0"/>
    <x v="1"/>
    <x v="1"/>
    <x v="0"/>
    <x v="0"/>
    <x v="0"/>
    <x v="17"/>
    <n v="10.99"/>
  </r>
  <r>
    <d v="2025-09-17T00:00:00"/>
    <x v="0"/>
    <x v="1"/>
    <x v="1"/>
    <x v="0"/>
    <x v="0"/>
    <x v="0"/>
    <x v="12"/>
    <n v="17.989999999999998"/>
  </r>
  <r>
    <d v="2025-09-18T00:00:00"/>
    <x v="0"/>
    <x v="1"/>
    <x v="1"/>
    <x v="0"/>
    <x v="6"/>
    <x v="0"/>
    <x v="11"/>
    <n v="9.99"/>
  </r>
  <r>
    <d v="2025-09-18T00:00:00"/>
    <x v="0"/>
    <x v="1"/>
    <x v="1"/>
    <x v="0"/>
    <x v="0"/>
    <x v="0"/>
    <x v="12"/>
    <n v="6"/>
  </r>
  <r>
    <d v="2025-09-19T00:00:00"/>
    <x v="0"/>
    <x v="1"/>
    <x v="1"/>
    <x v="1"/>
    <x v="1"/>
    <x v="2"/>
    <x v="18"/>
    <n v="3771.76"/>
  </r>
  <r>
    <d v="2025-09-20T00:00:00"/>
    <x v="0"/>
    <x v="1"/>
    <x v="1"/>
    <x v="0"/>
    <x v="3"/>
    <x v="0"/>
    <x v="7"/>
    <n v="47.7"/>
  </r>
  <r>
    <d v="2025-09-20T00:00:00"/>
    <x v="0"/>
    <x v="1"/>
    <x v="1"/>
    <x v="0"/>
    <x v="5"/>
    <x v="0"/>
    <x v="9"/>
    <n v="56.1"/>
  </r>
  <r>
    <d v="2025-09-20T00:00:00"/>
    <x v="0"/>
    <x v="1"/>
    <x v="1"/>
    <x v="0"/>
    <x v="3"/>
    <x v="0"/>
    <x v="7"/>
    <n v="24.9"/>
  </r>
  <r>
    <d v="2025-09-26T00:00:00"/>
    <x v="0"/>
    <x v="1"/>
    <x v="1"/>
    <x v="2"/>
    <x v="8"/>
    <x v="0"/>
    <x v="19"/>
    <n v="1429.23"/>
  </r>
  <r>
    <d v="2025-09-26T00:00:00"/>
    <x v="0"/>
    <x v="1"/>
    <x v="1"/>
    <x v="0"/>
    <x v="9"/>
    <x v="0"/>
    <x v="20"/>
    <n v="62.28"/>
  </r>
  <r>
    <d v="2025-09-27T00:00:00"/>
    <x v="0"/>
    <x v="1"/>
    <x v="1"/>
    <x v="0"/>
    <x v="0"/>
    <x v="0"/>
    <x v="14"/>
    <n v="14"/>
  </r>
  <r>
    <d v="2025-09-27T00:00:00"/>
    <x v="0"/>
    <x v="1"/>
    <x v="1"/>
    <x v="0"/>
    <x v="0"/>
    <x v="0"/>
    <x v="14"/>
    <n v="57"/>
  </r>
  <r>
    <d v="2025-09-29T00:00:00"/>
    <x v="0"/>
    <x v="1"/>
    <x v="1"/>
    <x v="1"/>
    <x v="1"/>
    <x v="1"/>
    <x v="1"/>
    <n v="5005.1000000000004"/>
  </r>
  <r>
    <d v="2025-09-29T00:00:00"/>
    <x v="0"/>
    <x v="1"/>
    <x v="1"/>
    <x v="2"/>
    <x v="2"/>
    <x v="0"/>
    <x v="2"/>
    <n v="252"/>
  </r>
  <r>
    <d v="2025-09-29T00:00:00"/>
    <x v="0"/>
    <x v="1"/>
    <x v="1"/>
    <x v="2"/>
    <x v="2"/>
    <x v="0"/>
    <x v="21"/>
    <n v="4.13"/>
  </r>
  <r>
    <d v="2025-09-29T00:00:00"/>
    <x v="0"/>
    <x v="1"/>
    <x v="1"/>
    <x v="1"/>
    <x v="5"/>
    <x v="2"/>
    <x v="6"/>
    <n v="12"/>
  </r>
  <r>
    <d v="2025-09-30T00:00:00"/>
    <x v="0"/>
    <x v="1"/>
    <x v="1"/>
    <x v="0"/>
    <x v="9"/>
    <x v="0"/>
    <x v="22"/>
    <n v="245"/>
  </r>
  <r>
    <d v="2025-10-03T00:00:00"/>
    <x v="0"/>
    <x v="2"/>
    <x v="2"/>
    <x v="0"/>
    <x v="3"/>
    <x v="0"/>
    <x v="7"/>
    <n v="70"/>
  </r>
  <r>
    <d v="2025-10-04T00:00:00"/>
    <x v="0"/>
    <x v="2"/>
    <x v="2"/>
    <x v="0"/>
    <x v="3"/>
    <x v="0"/>
    <x v="7"/>
    <n v="49.7"/>
  </r>
  <r>
    <d v="2025-10-05T00:00:00"/>
    <x v="0"/>
    <x v="2"/>
    <x v="2"/>
    <x v="0"/>
    <x v="3"/>
    <x v="0"/>
    <x v="7"/>
    <n v="79.61"/>
  </r>
  <r>
    <d v="2025-10-10T00:00:00"/>
    <x v="0"/>
    <x v="2"/>
    <x v="2"/>
    <x v="0"/>
    <x v="6"/>
    <x v="0"/>
    <x v="23"/>
    <n v="124.89"/>
  </r>
  <r>
    <d v="2025-10-10T00:00:00"/>
    <x v="0"/>
    <x v="2"/>
    <x v="2"/>
    <x v="2"/>
    <x v="8"/>
    <x v="0"/>
    <x v="19"/>
    <n v="1399.8"/>
  </r>
  <r>
    <d v="2025-10-10T00:00:00"/>
    <x v="0"/>
    <x v="2"/>
    <x v="2"/>
    <x v="0"/>
    <x v="0"/>
    <x v="0"/>
    <x v="0"/>
    <n v="235.28"/>
  </r>
  <r>
    <d v="2025-10-11T00:00:00"/>
    <x v="0"/>
    <x v="2"/>
    <x v="2"/>
    <x v="0"/>
    <x v="3"/>
    <x v="0"/>
    <x v="7"/>
    <n v="30.92"/>
  </r>
  <r>
    <d v="2025-10-11T00:00:00"/>
    <x v="0"/>
    <x v="2"/>
    <x v="2"/>
    <x v="0"/>
    <x v="5"/>
    <x v="0"/>
    <x v="10"/>
    <n v="140"/>
  </r>
  <r>
    <d v="2025-10-12T00:00:00"/>
    <x v="0"/>
    <x v="2"/>
    <x v="2"/>
    <x v="0"/>
    <x v="9"/>
    <x v="0"/>
    <x v="20"/>
    <n v="27.74"/>
  </r>
  <r>
    <d v="2025-10-12T00:00:00"/>
    <x v="0"/>
    <x v="2"/>
    <x v="2"/>
    <x v="0"/>
    <x v="0"/>
    <x v="0"/>
    <x v="0"/>
    <n v="159.38"/>
  </r>
  <r>
    <d v="2025-10-13T00:00:00"/>
    <x v="0"/>
    <x v="2"/>
    <x v="2"/>
    <x v="0"/>
    <x v="5"/>
    <x v="0"/>
    <x v="5"/>
    <n v="55"/>
  </r>
  <r>
    <d v="2025-10-15T00:00:00"/>
    <x v="0"/>
    <x v="2"/>
    <x v="2"/>
    <x v="0"/>
    <x v="5"/>
    <x v="0"/>
    <x v="6"/>
    <n v="66"/>
  </r>
  <r>
    <d v="2025-10-17T00:00:00"/>
    <x v="0"/>
    <x v="2"/>
    <x v="2"/>
    <x v="0"/>
    <x v="7"/>
    <x v="0"/>
    <x v="15"/>
    <n v="115"/>
  </r>
  <r>
    <d v="2025-10-17T00:00:00"/>
    <x v="0"/>
    <x v="2"/>
    <x v="2"/>
    <x v="0"/>
    <x v="3"/>
    <x v="0"/>
    <x v="7"/>
    <n v="38.58"/>
  </r>
  <r>
    <d v="2025-10-18T00:00:00"/>
    <x v="0"/>
    <x v="2"/>
    <x v="2"/>
    <x v="0"/>
    <x v="5"/>
    <x v="0"/>
    <x v="9"/>
    <n v="59.4"/>
  </r>
  <r>
    <d v="2025-10-19T00:00:00"/>
    <x v="0"/>
    <x v="2"/>
    <x v="2"/>
    <x v="0"/>
    <x v="3"/>
    <x v="0"/>
    <x v="7"/>
    <n v="75.97"/>
  </r>
  <r>
    <d v="2025-10-20T00:00:00"/>
    <x v="0"/>
    <x v="2"/>
    <x v="2"/>
    <x v="0"/>
    <x v="5"/>
    <x v="0"/>
    <x v="6"/>
    <n v="50"/>
  </r>
  <r>
    <d v="2025-10-21T00:00:00"/>
    <x v="0"/>
    <x v="2"/>
    <x v="2"/>
    <x v="0"/>
    <x v="5"/>
    <x v="0"/>
    <x v="6"/>
    <n v="30"/>
  </r>
  <r>
    <d v="2025-10-21T00:00:00"/>
    <x v="0"/>
    <x v="2"/>
    <x v="2"/>
    <x v="0"/>
    <x v="6"/>
    <x v="0"/>
    <x v="11"/>
    <n v="9.99"/>
  </r>
  <r>
    <d v="2025-10-24T00:00:00"/>
    <x v="0"/>
    <x v="2"/>
    <x v="2"/>
    <x v="0"/>
    <x v="0"/>
    <x v="0"/>
    <x v="17"/>
    <n v="24.98"/>
  </r>
  <r>
    <d v="2025-10-26T00:00:00"/>
    <x v="0"/>
    <x v="2"/>
    <x v="2"/>
    <x v="0"/>
    <x v="3"/>
    <x v="0"/>
    <x v="24"/>
    <n v="20"/>
  </r>
  <r>
    <d v="2025-10-27T00:00:00"/>
    <x v="0"/>
    <x v="2"/>
    <x v="2"/>
    <x v="2"/>
    <x v="2"/>
    <x v="0"/>
    <x v="21"/>
    <n v="7.11"/>
  </r>
  <r>
    <d v="2025-10-29T00:00:00"/>
    <x v="0"/>
    <x v="2"/>
    <x v="2"/>
    <x v="1"/>
    <x v="5"/>
    <x v="2"/>
    <x v="6"/>
    <n v="12"/>
  </r>
  <r>
    <d v="2025-10-30T00:00:00"/>
    <x v="0"/>
    <x v="2"/>
    <x v="2"/>
    <x v="1"/>
    <x v="1"/>
    <x v="1"/>
    <x v="1"/>
    <n v="5162"/>
  </r>
  <r>
    <d v="2025-10-30T00:00:00"/>
    <x v="0"/>
    <x v="2"/>
    <x v="2"/>
    <x v="0"/>
    <x v="0"/>
    <x v="0"/>
    <x v="12"/>
    <n v="18.989999999999998"/>
  </r>
  <r>
    <d v="2025-10-30T00:00:00"/>
    <x v="0"/>
    <x v="2"/>
    <x v="2"/>
    <x v="2"/>
    <x v="2"/>
    <x v="0"/>
    <x v="2"/>
    <n v="252"/>
  </r>
  <r>
    <d v="2025-10-31T00:00:00"/>
    <x v="0"/>
    <x v="2"/>
    <x v="2"/>
    <x v="0"/>
    <x v="5"/>
    <x v="0"/>
    <x v="10"/>
    <n v="170"/>
  </r>
  <r>
    <d v="2025-10-31T00:00:00"/>
    <x v="0"/>
    <x v="2"/>
    <x v="2"/>
    <x v="0"/>
    <x v="3"/>
    <x v="0"/>
    <x v="7"/>
    <n v="85.96"/>
  </r>
  <r>
    <d v="2025-10-31T00:00:00"/>
    <x v="0"/>
    <x v="2"/>
    <x v="2"/>
    <x v="0"/>
    <x v="0"/>
    <x v="0"/>
    <x v="17"/>
    <n v="234.8"/>
  </r>
  <r>
    <d v="2025-10-31T00:00:00"/>
    <x v="0"/>
    <x v="2"/>
    <x v="2"/>
    <x v="1"/>
    <x v="5"/>
    <x v="2"/>
    <x v="6"/>
    <n v="85"/>
  </r>
  <r>
    <d v="2025-11-02T00:00:00"/>
    <x v="0"/>
    <x v="3"/>
    <x v="3"/>
    <x v="0"/>
    <x v="5"/>
    <x v="0"/>
    <x v="9"/>
    <n v="79.2"/>
  </r>
  <r>
    <d v="2025-11-03T00:00:00"/>
    <x v="0"/>
    <x v="3"/>
    <x v="3"/>
    <x v="1"/>
    <x v="5"/>
    <x v="2"/>
    <x v="6"/>
    <n v="176.1"/>
  </r>
  <r>
    <d v="2025-11-03T00:00:00"/>
    <x v="0"/>
    <x v="3"/>
    <x v="3"/>
    <x v="0"/>
    <x v="10"/>
    <x v="0"/>
    <x v="25"/>
    <n v="80"/>
  </r>
  <r>
    <d v="2025-11-05T00:00:00"/>
    <x v="0"/>
    <x v="3"/>
    <x v="3"/>
    <x v="0"/>
    <x v="11"/>
    <x v="0"/>
    <x v="26"/>
    <n v="114.64"/>
  </r>
  <r>
    <d v="2025-11-05T00:00:00"/>
    <x v="0"/>
    <x v="3"/>
    <x v="3"/>
    <x v="0"/>
    <x v="0"/>
    <x v="0"/>
    <x v="12"/>
    <n v="12"/>
  </r>
  <r>
    <d v="2025-11-06T00:00:00"/>
    <x v="0"/>
    <x v="3"/>
    <x v="3"/>
    <x v="0"/>
    <x v="0"/>
    <x v="0"/>
    <x v="17"/>
    <n v="65.45"/>
  </r>
  <r>
    <d v="2025-11-07T00:00:00"/>
    <x v="0"/>
    <x v="3"/>
    <x v="3"/>
    <x v="0"/>
    <x v="3"/>
    <x v="0"/>
    <x v="7"/>
    <n v="51.96"/>
  </r>
  <r>
    <d v="2025-11-08T00:00:00"/>
    <x v="0"/>
    <x v="3"/>
    <x v="3"/>
    <x v="0"/>
    <x v="5"/>
    <x v="0"/>
    <x v="9"/>
    <n v="481"/>
  </r>
  <r>
    <d v="2025-11-09T00:00:00"/>
    <x v="0"/>
    <x v="3"/>
    <x v="3"/>
    <x v="0"/>
    <x v="3"/>
    <x v="0"/>
    <x v="7"/>
    <n v="25.13"/>
  </r>
  <r>
    <d v="2025-11-10T00:00:00"/>
    <x v="0"/>
    <x v="3"/>
    <x v="3"/>
    <x v="2"/>
    <x v="8"/>
    <x v="0"/>
    <x v="19"/>
    <n v="1402.18"/>
  </r>
  <r>
    <d v="2025-11-10T00:00:00"/>
    <x v="0"/>
    <x v="3"/>
    <x v="3"/>
    <x v="2"/>
    <x v="8"/>
    <x v="0"/>
    <x v="19"/>
    <n v="124.89"/>
  </r>
  <r>
    <d v="2025-11-11T00:00:00"/>
    <x v="0"/>
    <x v="3"/>
    <x v="3"/>
    <x v="0"/>
    <x v="5"/>
    <x v="0"/>
    <x v="27"/>
    <n v="66.5"/>
  </r>
  <r>
    <d v="2025-11-11T00:00:00"/>
    <x v="0"/>
    <x v="3"/>
    <x v="3"/>
    <x v="0"/>
    <x v="5"/>
    <x v="0"/>
    <x v="27"/>
    <n v="169.9"/>
  </r>
  <r>
    <d v="2025-11-15T00:00:00"/>
    <x v="0"/>
    <x v="3"/>
    <x v="3"/>
    <x v="0"/>
    <x v="5"/>
    <x v="0"/>
    <x v="6"/>
    <n v="159.63"/>
  </r>
  <r>
    <d v="2025-11-15T00:00:00"/>
    <x v="0"/>
    <x v="3"/>
    <x v="3"/>
    <x v="0"/>
    <x v="5"/>
    <x v="0"/>
    <x v="10"/>
    <n v="110"/>
  </r>
  <r>
    <d v="2025-11-15T00:00:00"/>
    <x v="0"/>
    <x v="3"/>
    <x v="3"/>
    <x v="0"/>
    <x v="0"/>
    <x v="0"/>
    <x v="17"/>
    <n v="209.4"/>
  </r>
  <r>
    <d v="2025-11-15T00:00:00"/>
    <x v="0"/>
    <x v="3"/>
    <x v="3"/>
    <x v="0"/>
    <x v="12"/>
    <x v="0"/>
    <x v="28"/>
    <n v="126.01"/>
  </r>
  <r>
    <d v="2025-11-15T00:00:00"/>
    <x v="0"/>
    <x v="3"/>
    <x v="3"/>
    <x v="0"/>
    <x v="6"/>
    <x v="0"/>
    <x v="11"/>
    <n v="9.99"/>
  </r>
  <r>
    <d v="2025-11-15T00:00:00"/>
    <x v="0"/>
    <x v="3"/>
    <x v="3"/>
    <x v="0"/>
    <x v="12"/>
    <x v="0"/>
    <x v="28"/>
    <n v="296.58"/>
  </r>
  <r>
    <d v="2025-11-17T00:00:00"/>
    <x v="0"/>
    <x v="3"/>
    <x v="3"/>
    <x v="1"/>
    <x v="5"/>
    <x v="2"/>
    <x v="6"/>
    <n v="42"/>
  </r>
  <r>
    <d v="2025-11-19T00:00:00"/>
    <x v="0"/>
    <x v="3"/>
    <x v="3"/>
    <x v="0"/>
    <x v="0"/>
    <x v="0"/>
    <x v="17"/>
    <n v="221.74"/>
  </r>
  <r>
    <d v="2025-11-19T00:00:00"/>
    <x v="0"/>
    <x v="3"/>
    <x v="3"/>
    <x v="0"/>
    <x v="0"/>
    <x v="0"/>
    <x v="17"/>
    <n v="511.64"/>
  </r>
  <r>
    <d v="2025-11-22T00:00:00"/>
    <x v="0"/>
    <x v="3"/>
    <x v="3"/>
    <x v="0"/>
    <x v="5"/>
    <x v="0"/>
    <x v="6"/>
    <n v="50"/>
  </r>
  <r>
    <d v="2025-11-22T00:00:00"/>
    <x v="0"/>
    <x v="3"/>
    <x v="3"/>
    <x v="0"/>
    <x v="5"/>
    <x v="0"/>
    <x v="6"/>
    <n v="40"/>
  </r>
  <r>
    <d v="2025-11-24T00:00:00"/>
    <x v="0"/>
    <x v="3"/>
    <x v="3"/>
    <x v="1"/>
    <x v="5"/>
    <x v="2"/>
    <x v="6"/>
    <n v="425.04"/>
  </r>
  <r>
    <d v="2025-11-25T00:00:00"/>
    <x v="0"/>
    <x v="3"/>
    <x v="3"/>
    <x v="0"/>
    <x v="7"/>
    <x v="0"/>
    <x v="15"/>
    <n v="90"/>
  </r>
  <r>
    <d v="2025-11-26T00:00:00"/>
    <x v="0"/>
    <x v="3"/>
    <x v="3"/>
    <x v="0"/>
    <x v="5"/>
    <x v="0"/>
    <x v="6"/>
    <n v="420"/>
  </r>
  <r>
    <d v="2025-11-26T00:00:00"/>
    <x v="0"/>
    <x v="3"/>
    <x v="3"/>
    <x v="0"/>
    <x v="5"/>
    <x v="0"/>
    <x v="6"/>
    <n v="5"/>
  </r>
  <r>
    <d v="2025-11-27T00:00:00"/>
    <x v="0"/>
    <x v="3"/>
    <x v="3"/>
    <x v="1"/>
    <x v="1"/>
    <x v="1"/>
    <x v="1"/>
    <n v="5262.43"/>
  </r>
  <r>
    <d v="2025-11-27T00:00:00"/>
    <x v="0"/>
    <x v="3"/>
    <x v="3"/>
    <x v="1"/>
    <x v="1"/>
    <x v="2"/>
    <x v="29"/>
    <n v="1312.51"/>
  </r>
  <r>
    <d v="2025-11-27T00:00:00"/>
    <x v="0"/>
    <x v="3"/>
    <x v="3"/>
    <x v="2"/>
    <x v="2"/>
    <x v="0"/>
    <x v="2"/>
    <n v="252"/>
  </r>
  <r>
    <d v="2025-11-28T00:00:00"/>
    <x v="0"/>
    <x v="3"/>
    <x v="3"/>
    <x v="1"/>
    <x v="2"/>
    <x v="2"/>
    <x v="21"/>
    <n v="8.99"/>
  </r>
  <r>
    <d v="2025-11-28T00:00:00"/>
    <x v="0"/>
    <x v="3"/>
    <x v="3"/>
    <x v="0"/>
    <x v="11"/>
    <x v="0"/>
    <x v="26"/>
    <n v="244.68"/>
  </r>
  <r>
    <d v="2025-11-28T00:00:00"/>
    <x v="0"/>
    <x v="3"/>
    <x v="3"/>
    <x v="0"/>
    <x v="3"/>
    <x v="0"/>
    <x v="7"/>
    <n v="70.95"/>
  </r>
  <r>
    <d v="2025-11-29T00:00:00"/>
    <x v="0"/>
    <x v="3"/>
    <x v="3"/>
    <x v="0"/>
    <x v="3"/>
    <x v="0"/>
    <x v="30"/>
    <n v="59"/>
  </r>
  <r>
    <d v="2025-11-29T00:00:00"/>
    <x v="0"/>
    <x v="3"/>
    <x v="3"/>
    <x v="0"/>
    <x v="9"/>
    <x v="0"/>
    <x v="20"/>
    <n v="26.4"/>
  </r>
  <r>
    <d v="2025-11-29T00:00:00"/>
    <x v="0"/>
    <x v="3"/>
    <x v="3"/>
    <x v="0"/>
    <x v="3"/>
    <x v="0"/>
    <x v="30"/>
    <n v="253.03"/>
  </r>
  <r>
    <d v="2025-11-29T00:00:00"/>
    <x v="0"/>
    <x v="3"/>
    <x v="3"/>
    <x v="0"/>
    <x v="3"/>
    <x v="0"/>
    <x v="7"/>
    <n v="102.99"/>
  </r>
  <r>
    <d v="2025-11-29T00:00:00"/>
    <x v="0"/>
    <x v="3"/>
    <x v="3"/>
    <x v="0"/>
    <x v="5"/>
    <x v="0"/>
    <x v="9"/>
    <n v="55"/>
  </r>
  <r>
    <d v="2025-12-01T00:00:00"/>
    <x v="0"/>
    <x v="4"/>
    <x v="4"/>
    <x v="1"/>
    <x v="5"/>
    <x v="2"/>
    <x v="6"/>
    <n v="51"/>
  </r>
  <r>
    <d v="2025-12-01T00:00:00"/>
    <x v="0"/>
    <x v="4"/>
    <x v="4"/>
    <x v="1"/>
    <x v="5"/>
    <x v="2"/>
    <x v="6"/>
    <n v="12"/>
  </r>
  <r>
    <d v="2025-12-01T00:00:00"/>
    <x v="0"/>
    <x v="4"/>
    <x v="4"/>
    <x v="2"/>
    <x v="2"/>
    <x v="0"/>
    <x v="21"/>
    <n v="3500"/>
  </r>
  <r>
    <d v="2025-12-01T00:00:00"/>
    <x v="0"/>
    <x v="4"/>
    <x v="4"/>
    <x v="2"/>
    <x v="2"/>
    <x v="0"/>
    <x v="31"/>
    <n v="752.82"/>
  </r>
  <r>
    <d v="2025-12-01T00:00:00"/>
    <x v="0"/>
    <x v="4"/>
    <x v="4"/>
    <x v="2"/>
    <x v="2"/>
    <x v="0"/>
    <x v="31"/>
    <n v="711.54"/>
  </r>
  <r>
    <d v="2025-12-01T00:00:00"/>
    <x v="0"/>
    <x v="4"/>
    <x v="4"/>
    <x v="0"/>
    <x v="10"/>
    <x v="0"/>
    <x v="32"/>
    <n v="147"/>
  </r>
  <r>
    <d v="2025-12-01T00:00:00"/>
    <x v="0"/>
    <x v="4"/>
    <x v="4"/>
    <x v="0"/>
    <x v="5"/>
    <x v="0"/>
    <x v="5"/>
    <n v="20"/>
  </r>
  <r>
    <d v="2025-12-03T00:00:00"/>
    <x v="0"/>
    <x v="4"/>
    <x v="4"/>
    <x v="0"/>
    <x v="10"/>
    <x v="0"/>
    <x v="25"/>
    <n v="80"/>
  </r>
  <r>
    <d v="2025-12-03T00:00:00"/>
    <x v="0"/>
    <x v="4"/>
    <x v="4"/>
    <x v="2"/>
    <x v="2"/>
    <x v="0"/>
    <x v="31"/>
    <n v="1464.32"/>
  </r>
  <r>
    <d v="2025-12-04T00:00:00"/>
    <x v="0"/>
    <x v="4"/>
    <x v="4"/>
    <x v="0"/>
    <x v="0"/>
    <x v="0"/>
    <x v="12"/>
    <n v="28.98"/>
  </r>
  <r>
    <d v="2025-12-05T00:00:00"/>
    <x v="0"/>
    <x v="4"/>
    <x v="4"/>
    <x v="0"/>
    <x v="5"/>
    <x v="0"/>
    <x v="27"/>
    <n v="126.89"/>
  </r>
  <r>
    <d v="2025-12-06T00:00:00"/>
    <x v="0"/>
    <x v="4"/>
    <x v="4"/>
    <x v="0"/>
    <x v="3"/>
    <x v="0"/>
    <x v="7"/>
    <n v="26.51"/>
  </r>
  <r>
    <d v="2025-12-06T00:00:00"/>
    <x v="0"/>
    <x v="4"/>
    <x v="4"/>
    <x v="0"/>
    <x v="3"/>
    <x v="0"/>
    <x v="7"/>
    <n v="112.06"/>
  </r>
  <r>
    <d v="2025-12-06T00:00:00"/>
    <x v="0"/>
    <x v="4"/>
    <x v="4"/>
    <x v="0"/>
    <x v="3"/>
    <x v="0"/>
    <x v="7"/>
    <n v="40.950000000000003"/>
  </r>
  <r>
    <d v="2025-12-06T00:00:00"/>
    <x v="0"/>
    <x v="4"/>
    <x v="4"/>
    <x v="0"/>
    <x v="0"/>
    <x v="0"/>
    <x v="17"/>
    <n v="322.32"/>
  </r>
  <r>
    <d v="2025-12-06T00:00:00"/>
    <x v="0"/>
    <x v="4"/>
    <x v="4"/>
    <x v="0"/>
    <x v="5"/>
    <x v="0"/>
    <x v="33"/>
    <n v="45.2"/>
  </r>
  <r>
    <d v="2025-12-07T00:00:00"/>
    <x v="0"/>
    <x v="4"/>
    <x v="4"/>
    <x v="0"/>
    <x v="3"/>
    <x v="0"/>
    <x v="7"/>
    <n v="46.07"/>
  </r>
  <r>
    <d v="2025-12-07T00:00:00"/>
    <x v="0"/>
    <x v="4"/>
    <x v="4"/>
    <x v="0"/>
    <x v="0"/>
    <x v="0"/>
    <x v="0"/>
    <n v="169.28"/>
  </r>
  <r>
    <d v="2025-12-08T00:00:00"/>
    <x v="0"/>
    <x v="4"/>
    <x v="4"/>
    <x v="1"/>
    <x v="5"/>
    <x v="2"/>
    <x v="6"/>
    <n v="80.58"/>
  </r>
  <r>
    <d v="2025-12-09T00:00:00"/>
    <x v="0"/>
    <x v="4"/>
    <x v="4"/>
    <x v="0"/>
    <x v="0"/>
    <x v="0"/>
    <x v="0"/>
    <n v="57.89"/>
  </r>
  <r>
    <d v="2025-12-10T00:00:00"/>
    <x v="0"/>
    <x v="4"/>
    <x v="4"/>
    <x v="2"/>
    <x v="8"/>
    <x v="0"/>
    <x v="19"/>
    <n v="1613.74"/>
  </r>
  <r>
    <d v="2025-12-12T00:00:00"/>
    <x v="0"/>
    <x v="4"/>
    <x v="4"/>
    <x v="0"/>
    <x v="0"/>
    <x v="0"/>
    <x v="17"/>
    <n v="53.39"/>
  </r>
  <r>
    <d v="2025-12-12T00:00:00"/>
    <x v="0"/>
    <x v="4"/>
    <x v="4"/>
    <x v="0"/>
    <x v="5"/>
    <x v="0"/>
    <x v="9"/>
    <n v="32.83"/>
  </r>
  <r>
    <d v="2025-12-14T00:00:00"/>
    <x v="0"/>
    <x v="4"/>
    <x v="4"/>
    <x v="0"/>
    <x v="9"/>
    <x v="0"/>
    <x v="20"/>
    <n v="85.89"/>
  </r>
  <r>
    <d v="2025-12-15T00:00:00"/>
    <x v="0"/>
    <x v="4"/>
    <x v="4"/>
    <x v="0"/>
    <x v="5"/>
    <x v="0"/>
    <x v="6"/>
    <n v="159.63"/>
  </r>
  <r>
    <d v="2025-12-15T00:00:00"/>
    <x v="0"/>
    <x v="4"/>
    <x v="4"/>
    <x v="0"/>
    <x v="12"/>
    <x v="0"/>
    <x v="28"/>
    <n v="126.01"/>
  </r>
  <r>
    <d v="2025-12-15T00:00:00"/>
    <x v="0"/>
    <x v="4"/>
    <x v="4"/>
    <x v="0"/>
    <x v="12"/>
    <x v="0"/>
    <x v="28"/>
    <n v="296.58"/>
  </r>
  <r>
    <d v="2025-12-15T00:00:00"/>
    <x v="0"/>
    <x v="4"/>
    <x v="4"/>
    <x v="2"/>
    <x v="2"/>
    <x v="0"/>
    <x v="34"/>
    <n v="2060.86"/>
  </r>
  <r>
    <d v="2025-12-15T00:00:00"/>
    <x v="0"/>
    <x v="4"/>
    <x v="4"/>
    <x v="2"/>
    <x v="2"/>
    <x v="0"/>
    <x v="35"/>
    <n v="10.029999999999999"/>
  </r>
  <r>
    <d v="2025-12-17T00:00:00"/>
    <x v="0"/>
    <x v="4"/>
    <x v="4"/>
    <x v="0"/>
    <x v="0"/>
    <x v="0"/>
    <x v="12"/>
    <n v="6"/>
  </r>
  <r>
    <d v="2025-12-18T00:00:00"/>
    <x v="0"/>
    <x v="4"/>
    <x v="4"/>
    <x v="0"/>
    <x v="0"/>
    <x v="0"/>
    <x v="14"/>
    <n v="37.9"/>
  </r>
  <r>
    <d v="2025-12-18T00:00:00"/>
    <x v="0"/>
    <x v="4"/>
    <x v="4"/>
    <x v="0"/>
    <x v="6"/>
    <x v="0"/>
    <x v="11"/>
    <n v="9.99"/>
  </r>
  <r>
    <d v="2025-12-18T00:00:00"/>
    <x v="0"/>
    <x v="4"/>
    <x v="4"/>
    <x v="0"/>
    <x v="5"/>
    <x v="0"/>
    <x v="5"/>
    <n v="200"/>
  </r>
  <r>
    <d v="2025-12-19T00:00:00"/>
    <x v="0"/>
    <x v="4"/>
    <x v="4"/>
    <x v="0"/>
    <x v="5"/>
    <x v="0"/>
    <x v="27"/>
    <n v="42"/>
  </r>
  <r>
    <d v="2025-12-19T00:00:00"/>
    <x v="0"/>
    <x v="4"/>
    <x v="4"/>
    <x v="1"/>
    <x v="1"/>
    <x v="2"/>
    <x v="29"/>
    <n v="1099.02"/>
  </r>
  <r>
    <d v="2025-12-19T00:00:00"/>
    <x v="0"/>
    <x v="4"/>
    <x v="4"/>
    <x v="2"/>
    <x v="2"/>
    <x v="0"/>
    <x v="2"/>
    <n v="252"/>
  </r>
  <r>
    <d v="2025-12-20T00:00:00"/>
    <x v="0"/>
    <x v="4"/>
    <x v="4"/>
    <x v="0"/>
    <x v="5"/>
    <x v="0"/>
    <x v="9"/>
    <n v="200"/>
  </r>
  <r>
    <d v="2025-12-21T00:00:00"/>
    <x v="0"/>
    <x v="4"/>
    <x v="4"/>
    <x v="0"/>
    <x v="5"/>
    <x v="0"/>
    <x v="9"/>
    <n v="50"/>
  </r>
  <r>
    <d v="2025-12-21T00:00:00"/>
    <x v="0"/>
    <x v="4"/>
    <x v="4"/>
    <x v="0"/>
    <x v="3"/>
    <x v="0"/>
    <x v="7"/>
    <n v="35.58"/>
  </r>
  <r>
    <d v="2025-12-21T00:00:00"/>
    <x v="0"/>
    <x v="4"/>
    <x v="4"/>
    <x v="0"/>
    <x v="0"/>
    <x v="0"/>
    <x v="0"/>
    <n v="110.51"/>
  </r>
  <r>
    <d v="2025-12-22T00:00:00"/>
    <x v="0"/>
    <x v="4"/>
    <x v="4"/>
    <x v="0"/>
    <x v="0"/>
    <x v="0"/>
    <x v="12"/>
    <n v="20"/>
  </r>
  <r>
    <d v="2025-12-23T00:00:00"/>
    <x v="0"/>
    <x v="4"/>
    <x v="4"/>
    <x v="0"/>
    <x v="7"/>
    <x v="0"/>
    <x v="15"/>
    <n v="105"/>
  </r>
  <r>
    <d v="2025-12-23T00:00:00"/>
    <x v="0"/>
    <x v="4"/>
    <x v="4"/>
    <x v="2"/>
    <x v="2"/>
    <x v="0"/>
    <x v="21"/>
    <n v="6.91"/>
  </r>
  <r>
    <d v="2025-12-25T00:00:00"/>
    <x v="0"/>
    <x v="4"/>
    <x v="4"/>
    <x v="0"/>
    <x v="0"/>
    <x v="0"/>
    <x v="0"/>
    <n v="166.17"/>
  </r>
  <r>
    <d v="2025-12-26T00:00:00"/>
    <x v="0"/>
    <x v="4"/>
    <x v="4"/>
    <x v="0"/>
    <x v="5"/>
    <x v="0"/>
    <x v="36"/>
    <n v="9.99"/>
  </r>
  <r>
    <d v="2025-12-27T00:00:00"/>
    <x v="0"/>
    <x v="4"/>
    <x v="4"/>
    <x v="0"/>
    <x v="3"/>
    <x v="0"/>
    <x v="24"/>
    <n v="30"/>
  </r>
  <r>
    <d v="2025-12-28T00:00:00"/>
    <x v="0"/>
    <x v="4"/>
    <x v="4"/>
    <x v="0"/>
    <x v="0"/>
    <x v="0"/>
    <x v="14"/>
    <n v="21.01"/>
  </r>
  <r>
    <d v="2025-12-28T00:00:00"/>
    <x v="0"/>
    <x v="4"/>
    <x v="4"/>
    <x v="0"/>
    <x v="12"/>
    <x v="0"/>
    <x v="28"/>
    <n v="59.9"/>
  </r>
  <r>
    <d v="2025-12-30T00:00:00"/>
    <x v="0"/>
    <x v="4"/>
    <x v="4"/>
    <x v="1"/>
    <x v="1"/>
    <x v="1"/>
    <x v="1"/>
    <n v="5087.8100000000004"/>
  </r>
  <r>
    <d v="2025-12-30T00:00:00"/>
    <x v="0"/>
    <x v="4"/>
    <x v="4"/>
    <x v="2"/>
    <x v="2"/>
    <x v="0"/>
    <x v="2"/>
    <n v="252"/>
  </r>
  <r>
    <d v="2026-01-02T00:00:00"/>
    <x v="1"/>
    <x v="5"/>
    <x v="5"/>
    <x v="0"/>
    <x v="10"/>
    <x v="0"/>
    <x v="37"/>
    <n v="99.9"/>
  </r>
  <r>
    <d v="2026-01-02T00:00:00"/>
    <x v="1"/>
    <x v="5"/>
    <x v="5"/>
    <x v="0"/>
    <x v="6"/>
    <x v="0"/>
    <x v="38"/>
    <n v="3.5"/>
  </r>
  <r>
    <d v="2026-01-03T00:00:00"/>
    <x v="1"/>
    <x v="5"/>
    <x v="5"/>
    <x v="0"/>
    <x v="10"/>
    <x v="0"/>
    <x v="25"/>
    <n v="80"/>
  </r>
  <r>
    <d v="2026-01-03T00:00:00"/>
    <x v="1"/>
    <x v="5"/>
    <x v="5"/>
    <x v="0"/>
    <x v="0"/>
    <x v="0"/>
    <x v="17"/>
    <n v="148.25"/>
  </r>
  <r>
    <d v="2026-01-03T00:00:00"/>
    <x v="1"/>
    <x v="5"/>
    <x v="5"/>
    <x v="0"/>
    <x v="3"/>
    <x v="0"/>
    <x v="7"/>
    <n v="53.96"/>
  </r>
  <r>
    <d v="2026-01-04T00:00:00"/>
    <x v="1"/>
    <x v="5"/>
    <x v="5"/>
    <x v="0"/>
    <x v="3"/>
    <x v="0"/>
    <x v="7"/>
    <n v="38.57"/>
  </r>
  <r>
    <d v="2026-01-04T00:00:00"/>
    <x v="1"/>
    <x v="5"/>
    <x v="5"/>
    <x v="0"/>
    <x v="0"/>
    <x v="0"/>
    <x v="14"/>
    <n v="24.9"/>
  </r>
  <r>
    <d v="2026-01-05T00:00:00"/>
    <x v="1"/>
    <x v="5"/>
    <x v="5"/>
    <x v="1"/>
    <x v="1"/>
    <x v="2"/>
    <x v="39"/>
    <n v="1500"/>
  </r>
  <r>
    <d v="2026-01-05T00:00:00"/>
    <x v="1"/>
    <x v="5"/>
    <x v="5"/>
    <x v="0"/>
    <x v="5"/>
    <x v="0"/>
    <x v="6"/>
    <n v="300"/>
  </r>
  <r>
    <d v="2026-01-09T00:00:00"/>
    <x v="1"/>
    <x v="5"/>
    <x v="5"/>
    <x v="0"/>
    <x v="3"/>
    <x v="0"/>
    <x v="7"/>
    <n v="40.24"/>
  </r>
  <r>
    <d v="2026-01-09T00:00:00"/>
    <x v="1"/>
    <x v="5"/>
    <x v="5"/>
    <x v="0"/>
    <x v="5"/>
    <x v="0"/>
    <x v="10"/>
    <n v="120"/>
  </r>
  <r>
    <d v="2026-01-10T00:00:00"/>
    <x v="1"/>
    <x v="5"/>
    <x v="5"/>
    <x v="0"/>
    <x v="5"/>
    <x v="0"/>
    <x v="33"/>
    <n v="54"/>
  </r>
  <r>
    <d v="2026-01-10T00:00:00"/>
    <x v="1"/>
    <x v="5"/>
    <x v="5"/>
    <x v="0"/>
    <x v="0"/>
    <x v="0"/>
    <x v="14"/>
    <n v="19.989999999999998"/>
  </r>
  <r>
    <d v="2026-01-10T00:00:00"/>
    <x v="1"/>
    <x v="5"/>
    <x v="5"/>
    <x v="0"/>
    <x v="5"/>
    <x v="0"/>
    <x v="27"/>
    <n v="199.99"/>
  </r>
  <r>
    <d v="2026-01-10T00:00:00"/>
    <x v="1"/>
    <x v="5"/>
    <x v="5"/>
    <x v="0"/>
    <x v="0"/>
    <x v="0"/>
    <x v="14"/>
    <n v="43.9"/>
  </r>
  <r>
    <d v="2026-01-10T00:00:00"/>
    <x v="1"/>
    <x v="5"/>
    <x v="5"/>
    <x v="0"/>
    <x v="3"/>
    <x v="0"/>
    <x v="7"/>
    <n v="31.45"/>
  </r>
  <r>
    <d v="2026-01-12T00:00:00"/>
    <x v="1"/>
    <x v="5"/>
    <x v="5"/>
    <x v="1"/>
    <x v="1"/>
    <x v="2"/>
    <x v="40"/>
    <n v="135.28"/>
  </r>
  <r>
    <d v="2026-01-12T00:00:00"/>
    <x v="1"/>
    <x v="5"/>
    <x v="5"/>
    <x v="1"/>
    <x v="5"/>
    <x v="2"/>
    <x v="6"/>
    <n v="100"/>
  </r>
  <r>
    <d v="2026-01-12T00:00:00"/>
    <x v="1"/>
    <x v="5"/>
    <x v="5"/>
    <x v="2"/>
    <x v="8"/>
    <x v="0"/>
    <x v="19"/>
    <n v="2350.3000000000002"/>
  </r>
  <r>
    <d v="2026-01-12T00:00:00"/>
    <x v="1"/>
    <x v="5"/>
    <x v="5"/>
    <x v="0"/>
    <x v="6"/>
    <x v="0"/>
    <x v="23"/>
    <n v="89.99"/>
  </r>
  <r>
    <d v="2026-01-13T00:00:00"/>
    <x v="1"/>
    <x v="5"/>
    <x v="5"/>
    <x v="0"/>
    <x v="0"/>
    <x v="0"/>
    <x v="14"/>
    <n v="37.4"/>
  </r>
  <r>
    <d v="2026-01-13T00:00:00"/>
    <x v="1"/>
    <x v="5"/>
    <x v="5"/>
    <x v="0"/>
    <x v="5"/>
    <x v="0"/>
    <x v="27"/>
    <n v="55.79"/>
  </r>
  <r>
    <d v="2026-01-15T00:00:00"/>
    <x v="1"/>
    <x v="5"/>
    <x v="5"/>
    <x v="0"/>
    <x v="5"/>
    <x v="0"/>
    <x v="6"/>
    <n v="159.63"/>
  </r>
  <r>
    <d v="2026-01-15T00:00:00"/>
    <x v="1"/>
    <x v="5"/>
    <x v="5"/>
    <x v="0"/>
    <x v="12"/>
    <x v="0"/>
    <x v="28"/>
    <n v="296.58"/>
  </r>
  <r>
    <d v="2026-01-15T00:00:00"/>
    <x v="1"/>
    <x v="5"/>
    <x v="5"/>
    <x v="0"/>
    <x v="12"/>
    <x v="0"/>
    <x v="28"/>
    <n v="126.01"/>
  </r>
  <r>
    <d v="2026-01-16T00:00:00"/>
    <x v="1"/>
    <x v="5"/>
    <x v="5"/>
    <x v="0"/>
    <x v="3"/>
    <x v="0"/>
    <x v="7"/>
    <n v="77.959999999999994"/>
  </r>
  <r>
    <d v="2026-01-16T00:00:00"/>
    <x v="1"/>
    <x v="5"/>
    <x v="5"/>
    <x v="2"/>
    <x v="2"/>
    <x v="0"/>
    <x v="35"/>
    <n v="11.09"/>
  </r>
  <r>
    <d v="2026-01-16T00:00:00"/>
    <x v="1"/>
    <x v="5"/>
    <x v="5"/>
    <x v="0"/>
    <x v="5"/>
    <x v="0"/>
    <x v="6"/>
    <n v="50"/>
  </r>
  <r>
    <d v="2026-01-17T00:00:00"/>
    <x v="1"/>
    <x v="5"/>
    <x v="5"/>
    <x v="0"/>
    <x v="5"/>
    <x v="0"/>
    <x v="9"/>
    <n v="127.58"/>
  </r>
  <r>
    <d v="2026-01-17T00:00:00"/>
    <x v="1"/>
    <x v="5"/>
    <x v="5"/>
    <x v="0"/>
    <x v="5"/>
    <x v="0"/>
    <x v="9"/>
    <n v="14.3"/>
  </r>
  <r>
    <d v="2026-01-17T00:00:00"/>
    <x v="1"/>
    <x v="5"/>
    <x v="5"/>
    <x v="0"/>
    <x v="0"/>
    <x v="0"/>
    <x v="14"/>
    <n v="69.3"/>
  </r>
  <r>
    <d v="2026-01-18T00:00:00"/>
    <x v="1"/>
    <x v="5"/>
    <x v="5"/>
    <x v="0"/>
    <x v="0"/>
    <x v="0"/>
    <x v="14"/>
    <n v="101.5"/>
  </r>
  <r>
    <d v="2026-01-18T00:00:00"/>
    <x v="1"/>
    <x v="5"/>
    <x v="5"/>
    <x v="0"/>
    <x v="3"/>
    <x v="0"/>
    <x v="7"/>
    <n v="81.94"/>
  </r>
  <r>
    <d v="2026-01-18T00:00:00"/>
    <x v="1"/>
    <x v="5"/>
    <x v="5"/>
    <x v="0"/>
    <x v="5"/>
    <x v="0"/>
    <x v="9"/>
    <n v="59.89"/>
  </r>
  <r>
    <d v="2026-01-19T00:00:00"/>
    <x v="1"/>
    <x v="5"/>
    <x v="5"/>
    <x v="0"/>
    <x v="4"/>
    <x v="0"/>
    <x v="4"/>
    <n v="120"/>
  </r>
  <r>
    <d v="2026-01-19T00:00:00"/>
    <x v="1"/>
    <x v="5"/>
    <x v="5"/>
    <x v="2"/>
    <x v="2"/>
    <x v="0"/>
    <x v="35"/>
    <n v="0.02"/>
  </r>
  <r>
    <d v="2026-01-20T00:00:00"/>
    <x v="1"/>
    <x v="5"/>
    <x v="5"/>
    <x v="0"/>
    <x v="6"/>
    <x v="0"/>
    <x v="11"/>
    <n v="9.99"/>
  </r>
  <r>
    <d v="2026-01-22T00:00:00"/>
    <x v="1"/>
    <x v="5"/>
    <x v="5"/>
    <x v="0"/>
    <x v="0"/>
    <x v="0"/>
    <x v="0"/>
    <n v="170.58"/>
  </r>
  <r>
    <d v="2026-01-23T00:00:00"/>
    <x v="1"/>
    <x v="5"/>
    <x v="5"/>
    <x v="2"/>
    <x v="2"/>
    <x v="0"/>
    <x v="35"/>
    <n v="6.44"/>
  </r>
  <r>
    <d v="2026-01-24T00:00:00"/>
    <x v="1"/>
    <x v="5"/>
    <x v="5"/>
    <x v="0"/>
    <x v="0"/>
    <x v="0"/>
    <x v="14"/>
    <n v="95.7"/>
  </r>
  <r>
    <d v="2026-01-24T00:00:00"/>
    <x v="1"/>
    <x v="5"/>
    <x v="5"/>
    <x v="0"/>
    <x v="0"/>
    <x v="0"/>
    <x v="17"/>
    <n v="501.74"/>
  </r>
  <r>
    <d v="2026-01-26T00:00:00"/>
    <x v="1"/>
    <x v="5"/>
    <x v="5"/>
    <x v="1"/>
    <x v="5"/>
    <x v="2"/>
    <x v="6"/>
    <n v="71.67"/>
  </r>
  <r>
    <d v="2026-01-26T00:00:00"/>
    <x v="1"/>
    <x v="5"/>
    <x v="5"/>
    <x v="1"/>
    <x v="5"/>
    <x v="2"/>
    <x v="6"/>
    <n v="72"/>
  </r>
  <r>
    <d v="2026-01-26T00:00:00"/>
    <x v="1"/>
    <x v="5"/>
    <x v="5"/>
    <x v="1"/>
    <x v="5"/>
    <x v="2"/>
    <x v="6"/>
    <n v="71.67"/>
  </r>
  <r>
    <d v="2026-01-26T00:00:00"/>
    <x v="1"/>
    <x v="5"/>
    <x v="5"/>
    <x v="1"/>
    <x v="5"/>
    <x v="2"/>
    <x v="6"/>
    <n v="71.67"/>
  </r>
  <r>
    <d v="2026-01-29T00:00:00"/>
    <x v="1"/>
    <x v="5"/>
    <x v="5"/>
    <x v="1"/>
    <x v="1"/>
    <x v="1"/>
    <x v="1"/>
    <n v="5208.1499999999996"/>
  </r>
  <r>
    <d v="2026-01-29T00:00:00"/>
    <x v="1"/>
    <x v="5"/>
    <x v="5"/>
    <x v="2"/>
    <x v="2"/>
    <x v="0"/>
    <x v="2"/>
    <n v="252"/>
  </r>
  <r>
    <d v="2026-01-29T00:00:00"/>
    <x v="1"/>
    <x v="5"/>
    <x v="5"/>
    <x v="0"/>
    <x v="0"/>
    <x v="0"/>
    <x v="12"/>
    <n v="7.5"/>
  </r>
  <r>
    <d v="2026-01-30T00:00:00"/>
    <x v="1"/>
    <x v="5"/>
    <x v="5"/>
    <x v="0"/>
    <x v="5"/>
    <x v="0"/>
    <x v="6"/>
    <n v="10"/>
  </r>
  <r>
    <d v="2026-01-30T00:00:00"/>
    <x v="1"/>
    <x v="5"/>
    <x v="5"/>
    <x v="0"/>
    <x v="0"/>
    <x v="0"/>
    <x v="14"/>
    <n v="318.49"/>
  </r>
  <r>
    <d v="2026-02-02T00:00:00"/>
    <x v="1"/>
    <x v="6"/>
    <x v="6"/>
    <x v="0"/>
    <x v="10"/>
    <x v="0"/>
    <x v="37"/>
    <n v="99.9"/>
  </r>
  <r>
    <d v="2026-02-02T00:00:00"/>
    <x v="1"/>
    <x v="6"/>
    <x v="6"/>
    <x v="2"/>
    <x v="2"/>
    <x v="0"/>
    <x v="35"/>
    <n v="0.55000000000000004"/>
  </r>
  <r>
    <d v="2026-02-03T00:00:00"/>
    <x v="1"/>
    <x v="6"/>
    <x v="6"/>
    <x v="0"/>
    <x v="10"/>
    <x v="0"/>
    <x v="25"/>
    <n v="80"/>
  </r>
  <r>
    <d v="2026-02-03T00:00:00"/>
    <x v="1"/>
    <x v="6"/>
    <x v="6"/>
    <x v="0"/>
    <x v="6"/>
    <x v="0"/>
    <x v="38"/>
    <n v="3.5"/>
  </r>
  <r>
    <d v="2026-02-03T00:00:00"/>
    <x v="1"/>
    <x v="6"/>
    <x v="6"/>
    <x v="2"/>
    <x v="2"/>
    <x v="0"/>
    <x v="35"/>
    <n v="0.01"/>
  </r>
  <r>
    <d v="2026-02-03T00:00:00"/>
    <x v="1"/>
    <x v="6"/>
    <x v="6"/>
    <x v="0"/>
    <x v="5"/>
    <x v="0"/>
    <x v="6"/>
    <n v="710"/>
  </r>
  <r>
    <d v="2026-02-04T00:00:00"/>
    <x v="1"/>
    <x v="6"/>
    <x v="6"/>
    <x v="1"/>
    <x v="5"/>
    <x v="2"/>
    <x v="6"/>
    <n v="370"/>
  </r>
  <r>
    <d v="2026-02-04T00:00:00"/>
    <x v="1"/>
    <x v="6"/>
    <x v="6"/>
    <x v="1"/>
    <x v="5"/>
    <x v="2"/>
    <x v="6"/>
    <n v="370"/>
  </r>
  <r>
    <d v="2026-02-05T00:00:00"/>
    <x v="1"/>
    <x v="6"/>
    <x v="6"/>
    <x v="0"/>
    <x v="7"/>
    <x v="0"/>
    <x v="15"/>
    <n v="19.989999999999998"/>
  </r>
  <r>
    <d v="2026-02-05T00:00:00"/>
    <x v="1"/>
    <x v="6"/>
    <x v="6"/>
    <x v="0"/>
    <x v="0"/>
    <x v="0"/>
    <x v="12"/>
    <n v="100"/>
  </r>
  <r>
    <d v="2026-02-06T00:00:00"/>
    <x v="1"/>
    <x v="6"/>
    <x v="6"/>
    <x v="2"/>
    <x v="2"/>
    <x v="0"/>
    <x v="35"/>
    <n v="4.05"/>
  </r>
  <r>
    <d v="2026-02-06T00:00:00"/>
    <x v="1"/>
    <x v="6"/>
    <x v="6"/>
    <x v="2"/>
    <x v="2"/>
    <x v="0"/>
    <x v="35"/>
    <n v="0.01"/>
  </r>
  <r>
    <d v="2026-02-06T00:00:00"/>
    <x v="1"/>
    <x v="6"/>
    <x v="6"/>
    <x v="0"/>
    <x v="5"/>
    <x v="0"/>
    <x v="16"/>
    <n v="250"/>
  </r>
  <r>
    <d v="2026-02-06T00:00:00"/>
    <x v="1"/>
    <x v="6"/>
    <x v="6"/>
    <x v="0"/>
    <x v="5"/>
    <x v="0"/>
    <x v="5"/>
    <n v="60"/>
  </r>
  <r>
    <d v="2026-02-07T00:00:00"/>
    <x v="1"/>
    <x v="6"/>
    <x v="6"/>
    <x v="0"/>
    <x v="0"/>
    <x v="0"/>
    <x v="14"/>
    <n v="277.33999999999997"/>
  </r>
  <r>
    <d v="2026-02-07T00:00:00"/>
    <x v="1"/>
    <x v="6"/>
    <x v="6"/>
    <x v="0"/>
    <x v="3"/>
    <x v="0"/>
    <x v="7"/>
    <n v="74.94"/>
  </r>
  <r>
    <d v="2026-02-09T00:00:00"/>
    <x v="1"/>
    <x v="6"/>
    <x v="6"/>
    <x v="1"/>
    <x v="1"/>
    <x v="2"/>
    <x v="39"/>
    <n v="924"/>
  </r>
  <r>
    <d v="2026-02-09T00:00:00"/>
    <x v="1"/>
    <x v="6"/>
    <x v="6"/>
    <x v="0"/>
    <x v="5"/>
    <x v="0"/>
    <x v="27"/>
    <n v="59.3"/>
  </r>
  <r>
    <d v="2026-02-10T00:00:00"/>
    <x v="1"/>
    <x v="6"/>
    <x v="6"/>
    <x v="2"/>
    <x v="2"/>
    <x v="0"/>
    <x v="35"/>
    <n v="0.17"/>
  </r>
  <r>
    <d v="2026-02-10T00:00:00"/>
    <x v="1"/>
    <x v="6"/>
    <x v="6"/>
    <x v="2"/>
    <x v="8"/>
    <x v="0"/>
    <x v="19"/>
    <n v="2355.2399999999998"/>
  </r>
  <r>
    <d v="2026-02-10T00:00:00"/>
    <x v="1"/>
    <x v="6"/>
    <x v="6"/>
    <x v="0"/>
    <x v="6"/>
    <x v="0"/>
    <x v="23"/>
    <n v="89.99"/>
  </r>
  <r>
    <d v="2026-02-11T00:00:00"/>
    <x v="1"/>
    <x v="6"/>
    <x v="6"/>
    <x v="2"/>
    <x v="2"/>
    <x v="0"/>
    <x v="35"/>
    <n v="0.01"/>
  </r>
  <r>
    <d v="2026-02-11T00:00:00"/>
    <x v="1"/>
    <x v="6"/>
    <x v="6"/>
    <x v="2"/>
    <x v="2"/>
    <x v="0"/>
    <x v="21"/>
    <n v="500"/>
  </r>
  <r>
    <d v="2026-02-12T00:00:00"/>
    <x v="1"/>
    <x v="6"/>
    <x v="6"/>
    <x v="0"/>
    <x v="5"/>
    <x v="0"/>
    <x v="27"/>
    <n v="31.5"/>
  </r>
  <r>
    <d v="2026-02-12T00:00:00"/>
    <x v="1"/>
    <x v="6"/>
    <x v="6"/>
    <x v="0"/>
    <x v="12"/>
    <x v="0"/>
    <x v="41"/>
    <n v="19.989999999999998"/>
  </r>
  <r>
    <d v="2026-02-13T00:00:00"/>
    <x v="1"/>
    <x v="6"/>
    <x v="6"/>
    <x v="0"/>
    <x v="6"/>
    <x v="0"/>
    <x v="11"/>
    <n v="9.99"/>
  </r>
  <r>
    <d v="2026-02-14T00:00:00"/>
    <x v="1"/>
    <x v="6"/>
    <x v="6"/>
    <x v="0"/>
    <x v="5"/>
    <x v="0"/>
    <x v="33"/>
    <n v="144.91999999999999"/>
  </r>
  <r>
    <d v="2026-02-14T00:00:00"/>
    <x v="1"/>
    <x v="6"/>
    <x v="6"/>
    <x v="0"/>
    <x v="5"/>
    <x v="0"/>
    <x v="9"/>
    <n v="123.2"/>
  </r>
  <r>
    <d v="2026-02-14T00:00:00"/>
    <x v="1"/>
    <x v="6"/>
    <x v="6"/>
    <x v="0"/>
    <x v="0"/>
    <x v="0"/>
    <x v="14"/>
    <n v="87.8"/>
  </r>
  <r>
    <d v="2026-02-14T00:00:00"/>
    <x v="1"/>
    <x v="6"/>
    <x v="6"/>
    <x v="0"/>
    <x v="3"/>
    <x v="0"/>
    <x v="7"/>
    <n v="65.930000000000007"/>
  </r>
  <r>
    <d v="2026-02-14T00:00:00"/>
    <x v="1"/>
    <x v="6"/>
    <x v="6"/>
    <x v="0"/>
    <x v="3"/>
    <x v="0"/>
    <x v="7"/>
    <n v="43.07"/>
  </r>
  <r>
    <d v="2026-02-15T00:00:00"/>
    <x v="1"/>
    <x v="6"/>
    <x v="6"/>
    <x v="0"/>
    <x v="5"/>
    <x v="0"/>
    <x v="6"/>
    <n v="46"/>
  </r>
  <r>
    <d v="2026-02-15T00:00:00"/>
    <x v="1"/>
    <x v="6"/>
    <x v="6"/>
    <x v="0"/>
    <x v="5"/>
    <x v="0"/>
    <x v="6"/>
    <n v="12"/>
  </r>
  <r>
    <d v="2026-02-15T00:00:00"/>
    <x v="1"/>
    <x v="6"/>
    <x v="6"/>
    <x v="0"/>
    <x v="5"/>
    <x v="0"/>
    <x v="6"/>
    <n v="50"/>
  </r>
  <r>
    <d v="2026-02-15T00:00:00"/>
    <x v="1"/>
    <x v="6"/>
    <x v="6"/>
    <x v="0"/>
    <x v="5"/>
    <x v="0"/>
    <x v="6"/>
    <n v="16.97"/>
  </r>
  <r>
    <d v="2026-02-15T00:00:00"/>
    <x v="1"/>
    <x v="6"/>
    <x v="6"/>
    <x v="0"/>
    <x v="5"/>
    <x v="0"/>
    <x v="6"/>
    <n v="78"/>
  </r>
  <r>
    <d v="2026-02-15T00:00:00"/>
    <x v="1"/>
    <x v="6"/>
    <x v="6"/>
    <x v="0"/>
    <x v="3"/>
    <x v="0"/>
    <x v="7"/>
    <n v="76.930000000000007"/>
  </r>
  <r>
    <d v="2026-02-16T00:00:00"/>
    <x v="1"/>
    <x v="6"/>
    <x v="6"/>
    <x v="0"/>
    <x v="0"/>
    <x v="0"/>
    <x v="17"/>
    <n v="482.2"/>
  </r>
  <r>
    <d v="2026-02-16T00:00:00"/>
    <x v="1"/>
    <x v="6"/>
    <x v="6"/>
    <x v="0"/>
    <x v="5"/>
    <x v="0"/>
    <x v="6"/>
    <n v="159.63999999999999"/>
  </r>
  <r>
    <d v="2026-02-17T00:00:00"/>
    <x v="1"/>
    <x v="6"/>
    <x v="6"/>
    <x v="0"/>
    <x v="0"/>
    <x v="0"/>
    <x v="0"/>
    <n v="59.93"/>
  </r>
  <r>
    <d v="2026-02-18T00:00:00"/>
    <x v="1"/>
    <x v="6"/>
    <x v="6"/>
    <x v="1"/>
    <x v="5"/>
    <x v="2"/>
    <x v="5"/>
    <n v="95"/>
  </r>
  <r>
    <d v="2026-02-18T00:00:00"/>
    <x v="1"/>
    <x v="6"/>
    <x v="6"/>
    <x v="1"/>
    <x v="5"/>
    <x v="2"/>
    <x v="5"/>
    <n v="95"/>
  </r>
  <r>
    <d v="2026-02-18T00:00:00"/>
    <x v="1"/>
    <x v="6"/>
    <x v="6"/>
    <x v="1"/>
    <x v="5"/>
    <x v="2"/>
    <x v="5"/>
    <n v="644.1"/>
  </r>
  <r>
    <d v="2026-02-18T00:00:00"/>
    <x v="1"/>
    <x v="6"/>
    <x v="6"/>
    <x v="1"/>
    <x v="5"/>
    <x v="2"/>
    <x v="6"/>
    <n v="975"/>
  </r>
  <r>
    <d v="2026-02-18T00:00:00"/>
    <x v="1"/>
    <x v="6"/>
    <x v="6"/>
    <x v="0"/>
    <x v="5"/>
    <x v="0"/>
    <x v="6"/>
    <n v="925.49"/>
  </r>
  <r>
    <d v="2026-02-18T00:00:00"/>
    <x v="1"/>
    <x v="6"/>
    <x v="6"/>
    <x v="0"/>
    <x v="5"/>
    <x v="0"/>
    <x v="6"/>
    <n v="273"/>
  </r>
  <r>
    <d v="2026-02-18T00:00:00"/>
    <x v="1"/>
    <x v="6"/>
    <x v="6"/>
    <x v="0"/>
    <x v="5"/>
    <x v="0"/>
    <x v="5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6AE8E-C766-4A01-AD9F-80F8C072CE4A}" name="Tabela dinâmica1" cacheId="2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8:N21" firstHeaderRow="1" firstDataRow="1" firstDataCol="1" rowPageCount="1" colPageCount="1"/>
  <pivotFields count="9">
    <pivotField showAll="0"/>
    <pivotField showAll="0"/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15">
        <item x="0"/>
        <item x="10"/>
        <item x="6"/>
        <item x="7"/>
        <item x="4"/>
        <item x="2"/>
        <item x="5"/>
        <item x="8"/>
        <item x="1"/>
        <item x="11"/>
        <item x="9"/>
        <item x="3"/>
        <item x="12"/>
        <item x="13"/>
        <item t="default"/>
      </items>
    </pivotField>
    <pivotField showAll="0"/>
    <pivotField showAll="0"/>
    <pivotField dataField="1" showAll="0"/>
  </pivotFields>
  <rowFields count="1">
    <field x="5"/>
  </rowFields>
  <rowItems count="3">
    <i>
      <x v="5"/>
    </i>
    <i>
      <x v="7"/>
    </i>
    <i t="grand">
      <x/>
    </i>
  </rowItems>
  <colItems count="1">
    <i/>
  </colItems>
  <pageFields count="1">
    <pageField fld="4" item="0" hier="-1"/>
  </pageFields>
  <dataFields count="1">
    <dataField name="Soma de Valor" fld="8" baseField="0" baseItem="0" numFmtId="166"/>
  </dataFields>
  <formats count="1">
    <format dxfId="1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7B57B-EB55-4082-84A4-CBCBD4961ADF}" name="mes_rec_desp" cacheId="27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A21:G25" firstHeaderRow="1" firstDataRow="3" firstDataCol="1"/>
  <pivotFields count="10">
    <pivotField showAll="0" defaultSubtotal="0"/>
    <pivotField showAll="0" defaultSubtotal="0">
      <items count="4">
        <item h="1" m="1" x="2"/>
        <item h="1" m="1" x="3"/>
        <item h="1" x="0"/>
        <item x="1"/>
      </items>
    </pivotField>
    <pivotField axis="axisRow" showAll="0" defaultSubtotal="0">
      <items count="12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</items>
    </pivotField>
    <pivotField subtotalTop="0" showAll="0" defaultSubtotal="0"/>
    <pivotField axis="axisCol" multipleItemSelectionAllowed="1" showAll="0" sortType="descending" defaultSubtotal="0">
      <items count="3">
        <item x="1"/>
        <item x="0"/>
        <item x="2"/>
      </items>
    </pivotField>
    <pivotField showAll="0" defaultSubtotal="0"/>
    <pivotField subtotalTop="0" showAll="0" sortType="descending" defaultSubtotal="0"/>
    <pivotField showAll="0" defaultSubtotal="0">
      <items count="66">
        <item x="23"/>
        <item x="29"/>
        <item x="41"/>
        <item x="27"/>
        <item m="1" x="60"/>
        <item m="1" x="44"/>
        <item m="1" x="46"/>
        <item x="33"/>
        <item x="10"/>
        <item x="9"/>
        <item x="15"/>
        <item m="1" x="63"/>
        <item x="13"/>
        <item m="1" x="53"/>
        <item m="1" x="59"/>
        <item x="4"/>
        <item x="0"/>
        <item x="22"/>
        <item m="1" x="49"/>
        <item x="24"/>
        <item m="1" x="51"/>
        <item x="20"/>
        <item x="8"/>
        <item x="31"/>
        <item m="1" x="43"/>
        <item m="1" x="45"/>
        <item x="30"/>
        <item m="1" x="52"/>
        <item x="37"/>
        <item m="1" x="50"/>
        <item x="38"/>
        <item m="1" x="55"/>
        <item m="1" x="48"/>
        <item x="3"/>
        <item m="1" x="58"/>
        <item x="12"/>
        <item x="17"/>
        <item x="26"/>
        <item m="1" x="62"/>
        <item x="19"/>
        <item m="1" x="57"/>
        <item m="1" x="61"/>
        <item x="5"/>
        <item m="1" x="56"/>
        <item x="18"/>
        <item x="2"/>
        <item x="25"/>
        <item x="40"/>
        <item x="21"/>
        <item x="34"/>
        <item x="35"/>
        <item m="1" x="47"/>
        <item x="14"/>
        <item x="6"/>
        <item x="28"/>
        <item x="1"/>
        <item m="1" x="42"/>
        <item x="11"/>
        <item m="1" x="54"/>
        <item x="32"/>
        <item x="16"/>
        <item m="1" x="64"/>
        <item x="7"/>
        <item x="39"/>
        <item m="1" x="65"/>
        <item x="36"/>
      </items>
    </pivotField>
    <pivotField dataField="1" showAll="0" defaultSubtotal="0"/>
    <pivotField subtotalTop="0" dragToRow="0" dragToCol="0" dragToPage="0" showAll="0" defaultSubtotal="0"/>
  </pivotFields>
  <rowFields count="1">
    <field x="2"/>
  </rowFields>
  <rowItems count="2">
    <i>
      <x/>
    </i>
    <i>
      <x v="1"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 " fld="8" baseField="2" baseItem="0" numFmtId="164"/>
    <dataField name="Receita Área" fld="8" baseField="2" baseItem="0"/>
  </dataFields>
  <formats count="1">
    <format dxfId="9">
      <pivotArea outline="0" collapsedLevelsAreSubtotals="1" fieldPosition="0"/>
    </format>
  </formats>
  <chartFormats count="9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E7DEA-DB57-4782-8699-70E37E74F372}" name="card_desp_saldo" cacheId="27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">
  <location ref="G3:H6" firstHeaderRow="1" firstDataRow="1" firstDataCol="1"/>
  <pivotFields count="10">
    <pivotField showAll="0" defaultSubtotal="0"/>
    <pivotField showAll="0" defaultSubtotal="0">
      <items count="4">
        <item h="1" m="1" x="2"/>
        <item h="1" m="1" x="3"/>
        <item h="1" x="0"/>
        <item x="1"/>
      </items>
    </pivotField>
    <pivotField showAll="0" defaultSubtotal="0"/>
    <pivotField subtotalTop="0" showAll="0" defaultSubtotal="0">
      <items count="12">
        <item h="1" x="5"/>
        <item x="6"/>
        <item h="1" m="1" x="7"/>
        <item h="1" m="1" x="8"/>
        <item h="1" m="1" x="9"/>
        <item h="1" m="1" x="10"/>
        <item h="1" m="1" x="11"/>
        <item h="1" x="0"/>
        <item h="1" x="1"/>
        <item h="1" x="2"/>
        <item h="1" x="3"/>
        <item h="1" x="4"/>
      </items>
    </pivotField>
    <pivotField axis="axisRow" multipleItemSelectionAllowed="1" showAll="0" sortType="descending" defaultSubtotal="0">
      <items count="3">
        <item x="1"/>
        <item x="0"/>
        <item x="2"/>
      </items>
    </pivotField>
    <pivotField showAll="0" defaultSubtotal="0"/>
    <pivotField subtotalTop="0" showAll="0" defaultSubtotal="0"/>
    <pivotField showAll="0" defaultSubtotal="0">
      <items count="66">
        <item x="23"/>
        <item x="29"/>
        <item x="41"/>
        <item x="27"/>
        <item m="1" x="60"/>
        <item m="1" x="44"/>
        <item m="1" x="46"/>
        <item x="33"/>
        <item x="10"/>
        <item x="9"/>
        <item x="15"/>
        <item m="1" x="63"/>
        <item x="13"/>
        <item m="1" x="53"/>
        <item m="1" x="59"/>
        <item x="4"/>
        <item x="0"/>
        <item x="22"/>
        <item m="1" x="49"/>
        <item x="24"/>
        <item m="1" x="51"/>
        <item x="20"/>
        <item x="8"/>
        <item x="31"/>
        <item m="1" x="43"/>
        <item m="1" x="45"/>
        <item x="30"/>
        <item m="1" x="52"/>
        <item x="37"/>
        <item m="1" x="50"/>
        <item x="38"/>
        <item m="1" x="55"/>
        <item m="1" x="48"/>
        <item x="3"/>
        <item m="1" x="58"/>
        <item x="12"/>
        <item x="17"/>
        <item x="26"/>
        <item m="1" x="62"/>
        <item x="19"/>
        <item m="1" x="57"/>
        <item m="1" x="61"/>
        <item x="5"/>
        <item m="1" x="56"/>
        <item x="18"/>
        <item x="2"/>
        <item x="25"/>
        <item x="40"/>
        <item x="21"/>
        <item x="34"/>
        <item x="35"/>
        <item m="1" x="47"/>
        <item x="14"/>
        <item x="6"/>
        <item x="28"/>
        <item x="1"/>
        <item m="1" x="42"/>
        <item x="11"/>
        <item m="1" x="54"/>
        <item x="32"/>
        <item x="16"/>
        <item m="1" x="64"/>
        <item x="7"/>
        <item x="39"/>
        <item m="1" x="65"/>
        <item x="36"/>
      </items>
    </pivotField>
    <pivotField dataField="1" showAll="0" defaultSubtotal="0"/>
    <pivotField subtotalTop="0" dragToRow="0" dragToCol="0" dragToPage="0" showAll="0" defaultSubtotal="0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Soma de Valor" fld="8" baseField="0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BFD4A-358C-4AF3-A2E7-691BA5BA50F4}" name="mes_tipo_rec" cacheId="27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A3:C6" firstHeaderRow="1" firstDataRow="2" firstDataCol="1" rowPageCount="1" colPageCount="1"/>
  <pivotFields count="10">
    <pivotField showAll="0" defaultSubtotal="0"/>
    <pivotField showAll="0" defaultSubtotal="0">
      <items count="4">
        <item h="1" m="1" x="2"/>
        <item h="1" m="1" x="3"/>
        <item h="1" x="0"/>
        <item x="1"/>
      </items>
    </pivotField>
    <pivotField axis="axisRow" showAll="0" defaultSubtotal="0">
      <items count="12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</items>
    </pivotField>
    <pivotField subtotalTop="0" showAll="0" defaultSubtotal="0"/>
    <pivotField axis="axisPage" showAll="0" sortType="descending" defaultSubtotal="0">
      <items count="3">
        <item x="1"/>
        <item x="0"/>
        <item x="2"/>
      </items>
    </pivotField>
    <pivotField showAll="0" defaultSubtotal="0"/>
    <pivotField axis="axisCol" subtotalTop="0" showAll="0" sortType="descending" defaultSubtotal="0">
      <items count="3">
        <item x="1"/>
        <item x="2"/>
        <item x="0"/>
      </items>
    </pivotField>
    <pivotField showAll="0" defaultSubtotal="0">
      <items count="66">
        <item x="23"/>
        <item x="29"/>
        <item x="41"/>
        <item x="27"/>
        <item m="1" x="60"/>
        <item m="1" x="44"/>
        <item m="1" x="46"/>
        <item x="33"/>
        <item x="10"/>
        <item x="9"/>
        <item x="15"/>
        <item m="1" x="63"/>
        <item x="13"/>
        <item m="1" x="53"/>
        <item m="1" x="59"/>
        <item x="4"/>
        <item x="0"/>
        <item x="22"/>
        <item m="1" x="49"/>
        <item x="24"/>
        <item m="1" x="51"/>
        <item x="20"/>
        <item x="8"/>
        <item x="31"/>
        <item m="1" x="43"/>
        <item m="1" x="45"/>
        <item x="30"/>
        <item m="1" x="52"/>
        <item x="37"/>
        <item m="1" x="50"/>
        <item x="38"/>
        <item m="1" x="55"/>
        <item m="1" x="48"/>
        <item x="3"/>
        <item m="1" x="58"/>
        <item x="12"/>
        <item x="17"/>
        <item x="26"/>
        <item m="1" x="62"/>
        <item x="19"/>
        <item m="1" x="57"/>
        <item m="1" x="61"/>
        <item x="5"/>
        <item m="1" x="56"/>
        <item x="18"/>
        <item x="2"/>
        <item x="25"/>
        <item x="40"/>
        <item x="21"/>
        <item x="34"/>
        <item x="35"/>
        <item m="1" x="47"/>
        <item x="14"/>
        <item x="6"/>
        <item x="28"/>
        <item x="1"/>
        <item m="1" x="42"/>
        <item x="11"/>
        <item m="1" x="54"/>
        <item x="32"/>
        <item x="16"/>
        <item m="1" x="64"/>
        <item x="7"/>
        <item x="39"/>
        <item m="1" x="65"/>
        <item x="36"/>
      </items>
    </pivotField>
    <pivotField dataField="1" showAll="0" defaultSubtotal="0"/>
    <pivotField subtotalTop="0" dragToRow="0" dragToCol="0" dragToPage="0" showAll="0" defaultSubtotal="0"/>
  </pivotFields>
  <rowFields count="1">
    <field x="2"/>
  </rowFields>
  <rowItems count="2">
    <i>
      <x/>
    </i>
    <i>
      <x v="1"/>
    </i>
  </rowItems>
  <colFields count="1">
    <field x="6"/>
  </colFields>
  <colItems count="2">
    <i>
      <x/>
    </i>
    <i>
      <x v="1"/>
    </i>
  </colItems>
  <pageFields count="1">
    <pageField fld="4" item="0" hier="-1"/>
  </pageFields>
  <dataFields count="1">
    <dataField name="Soma de Valor" fld="8" baseField="0" baseItem="0" numFmtId="164"/>
  </dataFields>
  <formats count="1">
    <format dxfId="13">
      <pivotArea outline="0" collapsedLevelsAreSubtotals="1" fieldPosition="0"/>
    </format>
  </formats>
  <chartFormats count="5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19396-2D81-4E0E-B933-E27AA3680AD1}" name="despesas_ano" cacheId="27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>
  <location ref="R20:S28" firstHeaderRow="1" firstDataRow="1" firstDataCol="1" rowPageCount="1" colPageCount="1"/>
  <pivotFields count="10">
    <pivotField showAll="0" defaultSubtotal="0"/>
    <pivotField showAll="0" defaultSubtotal="0">
      <items count="4">
        <item h="1" m="1" x="2"/>
        <item h="1" m="1" x="3"/>
        <item h="1" x="0"/>
        <item x="1"/>
      </items>
    </pivotField>
    <pivotField showAll="0" defaultSubtotal="0"/>
    <pivotField subtotalTop="0" showAll="0" defaultSubtotal="0"/>
    <pivotField axis="axisPage" multipleItemSelectionAllowed="1" showAll="0" sortType="descending" defaultSubtotal="0">
      <items count="3">
        <item h="1" x="1"/>
        <item x="0"/>
        <item h="1" x="2"/>
      </items>
    </pivotField>
    <pivotField axis="axisRow" multipleItemSelectionAllowed="1" showAll="0" sortType="descending" defaultSubtotal="0">
      <items count="20">
        <item x="5"/>
        <item x="8"/>
        <item m="1" x="19"/>
        <item m="1" x="14"/>
        <item m="1" x="16"/>
        <item m="1" x="15"/>
        <item m="1" x="13"/>
        <item x="9"/>
        <item m="1" x="18"/>
        <item x="3"/>
        <item m="1" x="17"/>
        <item x="0"/>
        <item x="1"/>
        <item x="2"/>
        <item x="4"/>
        <item x="6"/>
        <item x="7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howAll="0" sortType="ascending" defaultSubtotal="0">
      <items count="66">
        <item x="23"/>
        <item x="29"/>
        <item x="41"/>
        <item x="27"/>
        <item m="1" x="60"/>
        <item m="1" x="44"/>
        <item m="1" x="46"/>
        <item x="33"/>
        <item x="10"/>
        <item x="9"/>
        <item x="15"/>
        <item m="1" x="63"/>
        <item x="13"/>
        <item m="1" x="53"/>
        <item m="1" x="59"/>
        <item x="4"/>
        <item x="0"/>
        <item x="22"/>
        <item m="1" x="49"/>
        <item x="24"/>
        <item m="1" x="51"/>
        <item x="20"/>
        <item x="8"/>
        <item x="31"/>
        <item m="1" x="43"/>
        <item m="1" x="45"/>
        <item x="30"/>
        <item m="1" x="52"/>
        <item x="37"/>
        <item m="1" x="50"/>
        <item x="38"/>
        <item m="1" x="55"/>
        <item m="1" x="48"/>
        <item x="3"/>
        <item m="1" x="58"/>
        <item x="12"/>
        <item x="17"/>
        <item x="26"/>
        <item m="1" x="62"/>
        <item x="19"/>
        <item m="1" x="57"/>
        <item m="1" x="61"/>
        <item x="5"/>
        <item m="1" x="56"/>
        <item x="18"/>
        <item x="2"/>
        <item x="25"/>
        <item x="40"/>
        <item x="21"/>
        <item x="34"/>
        <item x="35"/>
        <item m="1" x="47"/>
        <item x="14"/>
        <item x="6"/>
        <item x="28"/>
        <item x="1"/>
        <item m="1" x="42"/>
        <item x="11"/>
        <item m="1" x="54"/>
        <item x="32"/>
        <item x="16"/>
        <item m="1" x="64"/>
        <item x="7"/>
        <item x="39"/>
        <item m="1" x="65"/>
        <item x="3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ubtotalTop="0" dragToRow="0" dragToCol="0" dragToPage="0" showAll="0" defaultSubtotal="0"/>
  </pivotFields>
  <rowFields count="1">
    <field x="5"/>
  </rowFields>
  <rowItems count="8">
    <i>
      <x/>
    </i>
    <i>
      <x v="11"/>
    </i>
    <i>
      <x v="9"/>
    </i>
    <i>
      <x v="19"/>
    </i>
    <i>
      <x v="17"/>
    </i>
    <i>
      <x v="15"/>
    </i>
    <i>
      <x v="14"/>
    </i>
    <i>
      <x v="16"/>
    </i>
  </rowItem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7">
      <pivotArea outline="0" collapsedLevelsAreSubtotals="1" fieldPosition="0"/>
    </format>
  </formats>
  <chartFormats count="8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9FCD0-B6A2-4C44-B200-3B277E048D90}" name="mes_saldo" cacheId="27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J1:J3" firstHeaderRow="1" firstDataRow="1" firstDataCol="1"/>
  <pivotFields count="10">
    <pivotField showAll="0" defaultSubtotal="0"/>
    <pivotField showAll="0" defaultSubtotal="0">
      <items count="4">
        <item h="1" m="1" x="2"/>
        <item h="1" m="1" x="3"/>
        <item h="1" x="0"/>
        <item x="1"/>
      </items>
    </pivotField>
    <pivotField axis="axisRow" showAll="0" defaultSubtotal="0">
      <items count="12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</items>
    </pivotField>
    <pivotField subtotalTop="0" showAll="0" defaultSubtotal="0"/>
    <pivotField multipleItemSelectionAllowed="1" showAll="0" sortType="descending" defaultSubtotal="0"/>
    <pivotField showAll="0" defaultSubtotal="0"/>
    <pivotField subtotalTop="0" showAll="0" defaultSubtotal="0"/>
    <pivotField showAll="0" defaultSubtotal="0">
      <items count="66">
        <item x="23"/>
        <item x="29"/>
        <item x="41"/>
        <item x="27"/>
        <item m="1" x="60"/>
        <item m="1" x="44"/>
        <item m="1" x="46"/>
        <item x="33"/>
        <item x="10"/>
        <item x="9"/>
        <item x="15"/>
        <item m="1" x="63"/>
        <item x="13"/>
        <item m="1" x="53"/>
        <item m="1" x="59"/>
        <item x="4"/>
        <item x="0"/>
        <item x="22"/>
        <item m="1" x="49"/>
        <item x="24"/>
        <item m="1" x="51"/>
        <item x="20"/>
        <item x="8"/>
        <item x="31"/>
        <item m="1" x="43"/>
        <item m="1" x="45"/>
        <item x="30"/>
        <item m="1" x="52"/>
        <item x="37"/>
        <item m="1" x="50"/>
        <item x="38"/>
        <item m="1" x="55"/>
        <item m="1" x="48"/>
        <item x="3"/>
        <item m="1" x="58"/>
        <item x="12"/>
        <item x="17"/>
        <item x="26"/>
        <item m="1" x="62"/>
        <item x="19"/>
        <item m="1" x="57"/>
        <item m="1" x="61"/>
        <item x="5"/>
        <item m="1" x="56"/>
        <item x="18"/>
        <item x="2"/>
        <item x="25"/>
        <item x="40"/>
        <item x="21"/>
        <item x="34"/>
        <item x="35"/>
        <item m="1" x="47"/>
        <item x="14"/>
        <item x="6"/>
        <item x="28"/>
        <item x="1"/>
        <item m="1" x="42"/>
        <item x="11"/>
        <item m="1" x="54"/>
        <item x="32"/>
        <item x="16"/>
        <item m="1" x="64"/>
        <item x="7"/>
        <item x="39"/>
        <item m="1" x="65"/>
        <item x="36"/>
      </items>
    </pivotField>
    <pivotField showAll="0" defaultSubtotal="0"/>
    <pivotField subtotalTop="0" dragToRow="0" dragToCol="0" dragToPage="0" showAll="0" defaultSubtotal="0"/>
  </pivotFields>
  <rowFields count="1">
    <field x="2"/>
  </rowFields>
  <rowItems count="2">
    <i>
      <x/>
    </i>
    <i>
      <x v="1"/>
    </i>
  </rowItems>
  <colItems count="1">
    <i/>
  </colItem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60E0F-2F3B-469D-B700-4DD6DCDB202F}" name="mes_despesas" cacheId="27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8">
  <location ref="J18:J20" firstHeaderRow="1" firstDataRow="1" firstDataCol="1" rowPageCount="1" colPageCount="1"/>
  <pivotFields count="10">
    <pivotField showAll="0" defaultSubtotal="0"/>
    <pivotField showAll="0" defaultSubtotal="0">
      <items count="4">
        <item h="1" m="1" x="2"/>
        <item h="1" m="1" x="3"/>
        <item h="1" x="0"/>
        <item x="1"/>
      </items>
    </pivotField>
    <pivotField axis="axisRow" showAll="0" defaultSubtotal="0">
      <items count="12">
        <item x="5"/>
        <item x="6"/>
        <item m="1" x="7"/>
        <item m="1" x="8"/>
        <item m="1" x="9"/>
        <item m="1" x="10"/>
        <item m="1" x="11"/>
        <item x="0"/>
        <item x="1"/>
        <item x="2"/>
        <item x="3"/>
        <item x="4"/>
      </items>
    </pivotField>
    <pivotField subtotalTop="0" showAll="0" defaultSubtotal="0"/>
    <pivotField axis="axisPage" multipleItemSelectionAllowed="1" showAll="0" sortType="descending" defaultSubtotal="0">
      <items count="3">
        <item h="1" x="1"/>
        <item x="0"/>
        <item h="1" x="2"/>
      </items>
    </pivotField>
    <pivotField showAll="0" defaultSubtotal="0"/>
    <pivotField subtotalTop="0" showAll="0" defaultSubtotal="0"/>
    <pivotField showAll="0" defaultSubtotal="0">
      <items count="66">
        <item x="23"/>
        <item x="29"/>
        <item x="41"/>
        <item x="27"/>
        <item m="1" x="60"/>
        <item m="1" x="44"/>
        <item m="1" x="46"/>
        <item x="33"/>
        <item x="10"/>
        <item x="9"/>
        <item x="15"/>
        <item m="1" x="63"/>
        <item x="13"/>
        <item m="1" x="53"/>
        <item m="1" x="59"/>
        <item x="4"/>
        <item x="0"/>
        <item x="22"/>
        <item m="1" x="49"/>
        <item x="24"/>
        <item m="1" x="51"/>
        <item x="20"/>
        <item x="8"/>
        <item x="31"/>
        <item m="1" x="43"/>
        <item m="1" x="45"/>
        <item x="30"/>
        <item m="1" x="52"/>
        <item x="37"/>
        <item m="1" x="50"/>
        <item x="38"/>
        <item m="1" x="55"/>
        <item m="1" x="48"/>
        <item x="3"/>
        <item m="1" x="58"/>
        <item x="12"/>
        <item x="17"/>
        <item x="26"/>
        <item m="1" x="62"/>
        <item x="19"/>
        <item m="1" x="57"/>
        <item m="1" x="61"/>
        <item x="5"/>
        <item m="1" x="56"/>
        <item x="18"/>
        <item x="2"/>
        <item x="25"/>
        <item x="40"/>
        <item x="21"/>
        <item x="34"/>
        <item x="35"/>
        <item m="1" x="47"/>
        <item x="14"/>
        <item x="6"/>
        <item x="28"/>
        <item x="1"/>
        <item m="1" x="42"/>
        <item x="11"/>
        <item m="1" x="54"/>
        <item x="32"/>
        <item x="16"/>
        <item m="1" x="64"/>
        <item x="7"/>
        <item x="39"/>
        <item m="1" x="65"/>
        <item x="36"/>
      </items>
    </pivotField>
    <pivotField showAll="0" defaultSubtotal="0"/>
    <pivotField subtotalTop="0" dragToRow="0" dragToCol="0" dragToPage="0" showAll="0" defaultSubtotal="0"/>
  </pivotFields>
  <rowFields count="1">
    <field x="2"/>
  </rowFields>
  <rowItems count="2">
    <i>
      <x/>
    </i>
    <i>
      <x v="1"/>
    </i>
  </rowItems>
  <colItems count="1">
    <i/>
  </colItems>
  <pageFields count="1">
    <pageField fld="4" hier="-1"/>
  </page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F6E8C-F6EC-4905-9D97-A8BDB194A54F}" name="desp_por_categoria" cacheId="27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R4:S4" firstHeaderRow="1" firstDataRow="1" firstDataCol="1" rowPageCount="1" colPageCount="1"/>
  <pivotFields count="10">
    <pivotField showAll="0" defaultSubtotal="0"/>
    <pivotField showAll="0" defaultSubtotal="0">
      <items count="4">
        <item h="1" m="1" x="2"/>
        <item h="1" m="1" x="3"/>
        <item h="1" x="0"/>
        <item x="1"/>
      </items>
    </pivotField>
    <pivotField showAll="0" defaultSubtotal="0"/>
    <pivotField subtotalTop="0" showAll="0" defaultSubtotal="0">
      <items count="12">
        <item h="1" x="5"/>
        <item x="6"/>
        <item h="1" m="1" x="7"/>
        <item h="1" m="1" x="8"/>
        <item h="1" m="1" x="9"/>
        <item h="1" m="1" x="10"/>
        <item h="1" m="1" x="11"/>
        <item h="1" x="0"/>
        <item h="1" x="1"/>
        <item h="1" x="2"/>
        <item h="1" x="3"/>
        <item h="1" x="4"/>
      </items>
    </pivotField>
    <pivotField axis="axisPage" multipleItemSelectionAllowed="1" showAll="0" sortType="descending" defaultSubtotal="0">
      <items count="3">
        <item h="1" x="1"/>
        <item x="0"/>
        <item h="1" x="2"/>
      </items>
    </pivotField>
    <pivotField multipleItemSelectionAllowed="1" showAll="0" defaultSubtotal="0">
      <items count="20">
        <item h="1" x="0"/>
        <item h="1" x="10"/>
        <item h="1" x="6"/>
        <item h="1" x="7"/>
        <item h="1" x="4"/>
        <item h="1" x="2"/>
        <item h="1" x="5"/>
        <item h="1" x="8"/>
        <item h="1" m="1" x="19"/>
        <item h="1" x="1"/>
        <item h="1" x="11"/>
        <item h="1" m="1" x="14"/>
        <item h="1" m="1" x="16"/>
        <item h="1" m="1" x="15"/>
        <item h="1" m="1" x="13"/>
        <item x="9"/>
        <item h="1" m="1" x="18"/>
        <item h="1" x="3"/>
        <item h="1" m="1" x="17"/>
        <item h="1" x="12"/>
      </items>
    </pivotField>
    <pivotField subtotalTop="0" showAll="0" defaultSubtotal="0"/>
    <pivotField axis="axisRow" showAll="0" sortType="ascending" defaultSubtotal="0">
      <items count="66">
        <item x="41"/>
        <item m="1" x="60"/>
        <item m="1" x="44"/>
        <item m="1" x="46"/>
        <item m="1" x="63"/>
        <item x="13"/>
        <item m="1" x="53"/>
        <item m="1" x="59"/>
        <item m="1" x="49"/>
        <item x="24"/>
        <item m="1" x="51"/>
        <item m="1" x="43"/>
        <item m="1" x="45"/>
        <item x="30"/>
        <item m="1" x="52"/>
        <item m="1" x="50"/>
        <item m="1" x="55"/>
        <item m="1" x="48"/>
        <item x="3"/>
        <item m="1" x="58"/>
        <item x="17"/>
        <item m="1" x="62"/>
        <item m="1" x="57"/>
        <item m="1" x="61"/>
        <item m="1" x="56"/>
        <item m="1" x="47"/>
        <item x="14"/>
        <item x="28"/>
        <item m="1" x="42"/>
        <item m="1" x="54"/>
        <item x="16"/>
        <item m="1" x="64"/>
        <item x="7"/>
        <item m="1" x="65"/>
        <item x="0"/>
        <item x="1"/>
        <item x="2"/>
        <item x="4"/>
        <item x="5"/>
        <item x="6"/>
        <item x="8"/>
        <item x="9"/>
        <item x="10"/>
        <item x="11"/>
        <item x="12"/>
        <item x="15"/>
        <item x="18"/>
        <item x="19"/>
        <item x="20"/>
        <item x="21"/>
        <item x="22"/>
        <item x="23"/>
        <item x="25"/>
        <item x="26"/>
        <item x="27"/>
        <item x="29"/>
        <item x="31"/>
        <item x="32"/>
        <item x="33"/>
        <item x="34"/>
        <item x="35"/>
        <item x="36"/>
        <item x="37"/>
        <item x="38"/>
        <item x="39"/>
        <item x="4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ubtotalTop="0" dragToRow="0" dragToCol="0" dragToPage="0" showAll="0" defaultSubtotal="0"/>
  </pivotFields>
  <rowFields count="1">
    <field x="7"/>
  </rowField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8">
      <pivotArea outline="0" collapsedLevelsAreSubtotals="1" fieldPosition="0"/>
    </format>
  </formats>
  <chartFormats count="1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F637E-FBD6-4BE6-A9A9-E104A7F55D4F}" name="despesas_anomes" cacheId="27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>
  <location ref="U20:V27" firstHeaderRow="1" firstDataRow="1" firstDataCol="1" rowPageCount="1" colPageCount="1"/>
  <pivotFields count="10">
    <pivotField showAll="0" defaultSubtotal="0"/>
    <pivotField showAll="0" defaultSubtotal="0">
      <items count="4">
        <item h="1" m="1" x="2"/>
        <item h="1" m="1" x="3"/>
        <item h="1" x="0"/>
        <item x="1"/>
      </items>
    </pivotField>
    <pivotField showAll="0" defaultSubtotal="0"/>
    <pivotField subtotalTop="0" showAll="0" defaultSubtotal="0">
      <items count="12">
        <item h="1" x="5"/>
        <item x="6"/>
        <item h="1" m="1" x="7"/>
        <item h="1" m="1" x="8"/>
        <item h="1" m="1" x="9"/>
        <item h="1" m="1" x="10"/>
        <item h="1" m="1" x="11"/>
        <item h="1" x="0"/>
        <item h="1" x="1"/>
        <item h="1" x="2"/>
        <item h="1" x="3"/>
        <item h="1" x="4"/>
      </items>
    </pivotField>
    <pivotField axis="axisPage" multipleItemSelectionAllowed="1" showAll="0" sortType="descending" defaultSubtotal="0">
      <items count="3">
        <item h="1" x="1"/>
        <item x="0"/>
        <item h="1" x="2"/>
      </items>
    </pivotField>
    <pivotField axis="axisRow" multipleItemSelectionAllowed="1" showAll="0" sortType="descending" defaultSubtotal="0">
      <items count="20">
        <item x="5"/>
        <item x="8"/>
        <item m="1" x="19"/>
        <item m="1" x="14"/>
        <item m="1" x="16"/>
        <item m="1" x="15"/>
        <item m="1" x="13"/>
        <item x="9"/>
        <item m="1" x="18"/>
        <item x="3"/>
        <item m="1" x="17"/>
        <item x="0"/>
        <item x="1"/>
        <item x="2"/>
        <item x="4"/>
        <item x="6"/>
        <item x="7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howAll="0" sortType="ascending" defaultSubtotal="0">
      <items count="66">
        <item x="23"/>
        <item x="29"/>
        <item x="41"/>
        <item x="27"/>
        <item m="1" x="60"/>
        <item m="1" x="44"/>
        <item m="1" x="46"/>
        <item x="33"/>
        <item x="10"/>
        <item x="9"/>
        <item x="15"/>
        <item m="1" x="63"/>
        <item x="13"/>
        <item m="1" x="53"/>
        <item m="1" x="59"/>
        <item x="4"/>
        <item x="0"/>
        <item x="22"/>
        <item m="1" x="49"/>
        <item x="24"/>
        <item m="1" x="51"/>
        <item x="20"/>
        <item x="8"/>
        <item x="31"/>
        <item m="1" x="43"/>
        <item m="1" x="45"/>
        <item x="30"/>
        <item m="1" x="52"/>
        <item x="37"/>
        <item m="1" x="50"/>
        <item x="38"/>
        <item m="1" x="55"/>
        <item m="1" x="48"/>
        <item x="3"/>
        <item m="1" x="58"/>
        <item x="12"/>
        <item x="17"/>
        <item x="26"/>
        <item m="1" x="62"/>
        <item x="19"/>
        <item m="1" x="57"/>
        <item m="1" x="61"/>
        <item x="5"/>
        <item m="1" x="56"/>
        <item x="18"/>
        <item x="2"/>
        <item x="25"/>
        <item x="40"/>
        <item x="21"/>
        <item x="34"/>
        <item x="35"/>
        <item m="1" x="47"/>
        <item x="14"/>
        <item x="6"/>
        <item x="28"/>
        <item x="1"/>
        <item m="1" x="42"/>
        <item x="11"/>
        <item m="1" x="54"/>
        <item x="32"/>
        <item x="16"/>
        <item m="1" x="64"/>
        <item x="7"/>
        <item x="39"/>
        <item m="1" x="65"/>
        <item x="3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ubtotalTop="0" dragToRow="0" dragToCol="0" dragToPage="0" showAll="0" defaultSubtotal="0"/>
  </pivotFields>
  <rowFields count="1">
    <field x="5"/>
  </rowFields>
  <rowItems count="7">
    <i>
      <x/>
    </i>
    <i>
      <x v="11"/>
    </i>
    <i>
      <x v="9"/>
    </i>
    <i>
      <x v="17"/>
    </i>
    <i>
      <x v="15"/>
    </i>
    <i>
      <x v="19"/>
    </i>
    <i>
      <x v="16"/>
    </i>
  </rowItems>
  <colItems count="1">
    <i/>
  </colItems>
  <pageFields count="1">
    <pageField fld="4" hier="-1"/>
  </pageFields>
  <dataFields count="1">
    <dataField name="Soma de Valor" fld="8" baseField="0" baseItem="0" numFmtId="164"/>
  </dataFields>
  <formats count="1">
    <format dxfId="6">
      <pivotArea outline="0" collapsedLevelsAreSubtotals="1" fieldPosition="0"/>
    </format>
  </formats>
  <chartFormats count="8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extenso" xr10:uid="{361E2DF5-71D2-41CF-B7CC-BF86FB23E9A8}" sourceName="Mês_extenso">
  <pivotTables>
    <pivotTable tabId="2" name="card_desp_saldo"/>
    <pivotTable tabId="2" name="despesas_anomes"/>
    <pivotTable tabId="2" name="desp_por_categoria"/>
  </pivotTables>
  <data>
    <tabular pivotCacheId="1643761035">
      <items count="12">
        <i x="5"/>
        <i x="6" s="1"/>
        <i x="7" nd="1"/>
        <i x="8" nd="1"/>
        <i x="9" nd="1"/>
        <i x="10" nd="1"/>
        <i x="11" nd="1"/>
        <i x="0" nd="1"/>
        <i x="1" nd="1"/>
        <i x="2" nd="1"/>
        <i x="3" nd="1"/>
        <i x="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2A8B459E-7461-4164-B4FA-448BA7C0DEB4}" sourceName="Categoria">
  <pivotTables>
    <pivotTable tabId="2" name="desp_por_categoria"/>
  </pivotTables>
  <data>
    <tabular pivotCacheId="1643761035">
      <items count="20">
        <i x="0"/>
        <i x="10"/>
        <i x="6"/>
        <i x="7"/>
        <i x="5"/>
        <i x="3"/>
        <i x="12"/>
        <i x="4" nd="1"/>
        <i x="2" nd="1"/>
        <i x="8" nd="1"/>
        <i x="19" nd="1"/>
        <i x="1" nd="1"/>
        <i x="11" nd="1"/>
        <i x="14" nd="1"/>
        <i x="16" nd="1"/>
        <i x="15" nd="1"/>
        <i x="13" nd="1"/>
        <i x="9" s="1" nd="1"/>
        <i x="18" nd="1"/>
        <i x="1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3F7D078F-21A5-4D36-BE35-5B3D11C6B25B}" sourceName="Ano">
  <pivotTables>
    <pivotTable tabId="2" name="mes_tipo_rec"/>
    <pivotTable tabId="2" name="card_desp_saldo"/>
    <pivotTable tabId="2" name="mes_saldo"/>
    <pivotTable tabId="2" name="mes_despesas"/>
    <pivotTable tabId="2" name="mes_rec_desp"/>
    <pivotTable tabId="2" name="desp_por_categoria"/>
    <pivotTable tabId="2" name="despesas_ano"/>
    <pivotTable tabId="2" name="despesas_anomes"/>
  </pivotTables>
  <data>
    <tabular pivotCacheId="1643761035">
      <items count="4">
        <i x="0"/>
        <i x="1" s="1"/>
        <i x="2" nd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_extenso" xr10:uid="{2AA3CE21-596C-478D-9C28-18DE7D061E38}" cache="SegmentaçãodeDados_Mês_extenso" caption="Mês_extenso" showCaption="0" style="Estilo de Segmentação de Dados 1" rowHeight="234950"/>
  <slicer name="Categoria" xr10:uid="{324ECE49-0498-4C44-A51F-40264D3E59F5}" cache="SegmentaçãodeDados_Categoria" caption="Categoria" showCaption="0" style="Estilo de Segmentação de Dados 1 2" rowHeight="234950"/>
  <slicer name="Ano" xr10:uid="{6873C012-B827-4681-B37A-FAF760C2492E}" cache="SegmentaçãodeDados_Ano" caption="Ano" showCaption="0" style="Estilo de Segmentação de Dados 1" rowHeight="23495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4B01-EE1F-4221-A9CD-CA6A5ECC78A7}">
  <dimension ref="Y22:Z29"/>
  <sheetViews>
    <sheetView showRowColHeaders="0" tabSelected="1" zoomScale="89" zoomScaleNormal="89" workbookViewId="0">
      <selection activeCell="Y22" sqref="Y22"/>
    </sheetView>
  </sheetViews>
  <sheetFormatPr defaultRowHeight="15"/>
  <sheetData>
    <row r="22" spans="25:26">
      <c r="Y22" s="6" t="s">
        <v>233</v>
      </c>
    </row>
    <row r="29" spans="25:26">
      <c r="Z29" s="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4"/>
  <sheetViews>
    <sheetView workbookViewId="0">
      <selection activeCell="H272" sqref="H272"/>
    </sheetView>
  </sheetViews>
  <sheetFormatPr defaultRowHeight="15"/>
  <cols>
    <col min="1" max="1" width="10.7109375" style="15" bestFit="1" customWidth="1"/>
    <col min="2" max="2" width="9.140625" bestFit="1" customWidth="1"/>
    <col min="3" max="3" width="9.42578125" bestFit="1" customWidth="1"/>
    <col min="4" max="4" width="17.7109375" bestFit="1" customWidth="1"/>
    <col min="5" max="5" width="9.42578125" bestFit="1" customWidth="1"/>
    <col min="6" max="6" width="21" bestFit="1" customWidth="1"/>
    <col min="7" max="7" width="21.28515625" style="13" bestFit="1" customWidth="1"/>
    <col min="8" max="8" width="22.5703125" bestFit="1" customWidth="1"/>
    <col min="9" max="9" width="10.7109375" bestFit="1" customWidth="1"/>
  </cols>
  <sheetData>
    <row r="1" spans="1:9">
      <c r="A1" s="14" t="s">
        <v>0</v>
      </c>
      <c r="B1" s="1" t="s">
        <v>41</v>
      </c>
      <c r="C1" s="1" t="s">
        <v>42</v>
      </c>
      <c r="D1" s="1" t="s">
        <v>48</v>
      </c>
      <c r="E1" s="1" t="s">
        <v>1</v>
      </c>
      <c r="F1" s="1" t="s">
        <v>2</v>
      </c>
      <c r="G1" s="17" t="s">
        <v>49</v>
      </c>
      <c r="H1" s="1" t="s">
        <v>3</v>
      </c>
      <c r="I1" s="1" t="s">
        <v>4</v>
      </c>
    </row>
    <row r="2" spans="1:9">
      <c r="A2" s="15">
        <v>45891</v>
      </c>
      <c r="B2">
        <f>YEAR(A2)</f>
        <v>2025</v>
      </c>
      <c r="C2" t="str">
        <f>TEXT(A2,"mmm")</f>
        <v>ago</v>
      </c>
      <c r="D2" t="str">
        <f>PROPER(TEXT(A2,"Mmmm"))</f>
        <v>Agosto</v>
      </c>
      <c r="E2" t="s">
        <v>6</v>
      </c>
      <c r="F2" t="s">
        <v>204</v>
      </c>
      <c r="G2" s="13" t="str">
        <f>IF(E2="Receita",IF(H2="Salário","Salário","Outras Receitas"),"")</f>
        <v/>
      </c>
      <c r="H2" t="s">
        <v>205</v>
      </c>
      <c r="I2" s="16">
        <v>95.89</v>
      </c>
    </row>
    <row r="3" spans="1:9">
      <c r="A3" s="15">
        <v>45892</v>
      </c>
      <c r="B3">
        <f t="shared" ref="B3:B63" si="0">YEAR(A3)</f>
        <v>2025</v>
      </c>
      <c r="C3" t="str">
        <f t="shared" ref="C3:C63" si="1">TEXT(A3,"mmm")</f>
        <v>ago</v>
      </c>
      <c r="D3" t="str">
        <f t="shared" ref="D3:D63" si="2">PROPER(TEXT(A3,"Mmmm"))</f>
        <v>Agosto</v>
      </c>
      <c r="E3" t="s">
        <v>6</v>
      </c>
      <c r="F3" t="s">
        <v>204</v>
      </c>
      <c r="G3" s="13" t="str">
        <f t="shared" ref="G3:G66" si="3">IF(E3="Receita",IF(H3="Salário","Salário","Outras Receitas"),"")</f>
        <v/>
      </c>
      <c r="H3" t="s">
        <v>205</v>
      </c>
      <c r="I3" s="16">
        <v>131.97999999999999</v>
      </c>
    </row>
    <row r="4" spans="1:9">
      <c r="A4" s="15">
        <v>45893</v>
      </c>
      <c r="B4">
        <f t="shared" si="0"/>
        <v>2025</v>
      </c>
      <c r="C4" t="str">
        <f t="shared" si="1"/>
        <v>ago</v>
      </c>
      <c r="D4" t="str">
        <f t="shared" si="2"/>
        <v>Agosto</v>
      </c>
      <c r="E4" t="s">
        <v>6</v>
      </c>
      <c r="F4" t="s">
        <v>204</v>
      </c>
      <c r="G4" s="13" t="str">
        <f t="shared" si="3"/>
        <v/>
      </c>
      <c r="H4" t="s">
        <v>205</v>
      </c>
      <c r="I4" s="16">
        <v>172.98</v>
      </c>
    </row>
    <row r="5" spans="1:9">
      <c r="A5" s="15">
        <v>45897</v>
      </c>
      <c r="B5">
        <f t="shared" si="0"/>
        <v>2025</v>
      </c>
      <c r="C5" t="str">
        <f t="shared" si="1"/>
        <v>ago</v>
      </c>
      <c r="D5" t="str">
        <f t="shared" si="2"/>
        <v>Agosto</v>
      </c>
      <c r="E5" t="s">
        <v>5</v>
      </c>
      <c r="F5" t="s">
        <v>201</v>
      </c>
      <c r="G5" s="13" t="str">
        <f t="shared" si="3"/>
        <v>Salário</v>
      </c>
      <c r="H5" t="s">
        <v>7</v>
      </c>
      <c r="I5" s="16">
        <v>4320.2299999999996</v>
      </c>
    </row>
    <row r="6" spans="1:9">
      <c r="A6" s="15">
        <v>45897</v>
      </c>
      <c r="B6">
        <f t="shared" si="0"/>
        <v>2025</v>
      </c>
      <c r="C6" t="str">
        <f t="shared" si="1"/>
        <v>ago</v>
      </c>
      <c r="D6" t="str">
        <f t="shared" si="2"/>
        <v>Agosto</v>
      </c>
      <c r="E6" t="s">
        <v>251</v>
      </c>
      <c r="F6" t="s">
        <v>224</v>
      </c>
      <c r="G6" s="13" t="str">
        <f t="shared" si="3"/>
        <v/>
      </c>
      <c r="H6" t="s">
        <v>239</v>
      </c>
      <c r="I6" s="16">
        <v>238.46</v>
      </c>
    </row>
    <row r="7" spans="1:9">
      <c r="A7" s="15">
        <v>45897</v>
      </c>
      <c r="B7">
        <f t="shared" si="0"/>
        <v>2025</v>
      </c>
      <c r="C7" t="str">
        <f t="shared" si="1"/>
        <v>ago</v>
      </c>
      <c r="D7" t="str">
        <f t="shared" si="2"/>
        <v>Agosto</v>
      </c>
      <c r="E7" t="s">
        <v>6</v>
      </c>
      <c r="F7" t="s">
        <v>10</v>
      </c>
      <c r="G7" s="13" t="str">
        <f t="shared" si="3"/>
        <v/>
      </c>
      <c r="H7" t="s">
        <v>17</v>
      </c>
      <c r="I7" s="16">
        <v>600</v>
      </c>
    </row>
    <row r="8" spans="1:9">
      <c r="A8" s="15">
        <v>45897</v>
      </c>
      <c r="B8">
        <f t="shared" si="0"/>
        <v>2025</v>
      </c>
      <c r="C8" t="str">
        <f t="shared" si="1"/>
        <v>ago</v>
      </c>
      <c r="D8" t="str">
        <f t="shared" si="2"/>
        <v>Agosto</v>
      </c>
      <c r="E8" t="s">
        <v>6</v>
      </c>
      <c r="F8" t="s">
        <v>236</v>
      </c>
      <c r="G8" s="13" t="str">
        <f t="shared" si="3"/>
        <v/>
      </c>
      <c r="H8" t="s">
        <v>237</v>
      </c>
      <c r="I8" s="16">
        <v>500</v>
      </c>
    </row>
    <row r="9" spans="1:9">
      <c r="A9" s="15">
        <v>45897</v>
      </c>
      <c r="B9">
        <f t="shared" si="0"/>
        <v>2025</v>
      </c>
      <c r="C9" t="str">
        <f t="shared" si="1"/>
        <v>ago</v>
      </c>
      <c r="D9" t="str">
        <f t="shared" si="2"/>
        <v>Agosto</v>
      </c>
      <c r="E9" t="s">
        <v>6</v>
      </c>
      <c r="F9" t="s">
        <v>12</v>
      </c>
      <c r="G9" s="13" t="str">
        <f t="shared" si="3"/>
        <v/>
      </c>
      <c r="H9" t="s">
        <v>228</v>
      </c>
      <c r="I9" s="16">
        <v>123</v>
      </c>
    </row>
    <row r="10" spans="1:9">
      <c r="A10" s="15">
        <v>45898</v>
      </c>
      <c r="B10">
        <f t="shared" si="0"/>
        <v>2025</v>
      </c>
      <c r="C10" t="str">
        <f t="shared" si="1"/>
        <v>ago</v>
      </c>
      <c r="D10" t="str">
        <f t="shared" si="2"/>
        <v>Agosto</v>
      </c>
      <c r="E10" t="s">
        <v>5</v>
      </c>
      <c r="F10" t="s">
        <v>12</v>
      </c>
      <c r="G10" s="13" t="str">
        <f t="shared" si="3"/>
        <v>Outras Receitas</v>
      </c>
      <c r="H10" t="s">
        <v>246</v>
      </c>
      <c r="I10" s="16">
        <v>32</v>
      </c>
    </row>
    <row r="11" spans="1:9">
      <c r="A11" s="15">
        <v>45899</v>
      </c>
      <c r="B11">
        <f t="shared" si="0"/>
        <v>2025</v>
      </c>
      <c r="C11" t="str">
        <f t="shared" si="1"/>
        <v>ago</v>
      </c>
      <c r="D11" t="str">
        <f t="shared" si="2"/>
        <v>Agosto</v>
      </c>
      <c r="E11" t="s">
        <v>6</v>
      </c>
      <c r="F11" t="s">
        <v>10</v>
      </c>
      <c r="G11" s="13" t="str">
        <f t="shared" si="3"/>
        <v/>
      </c>
      <c r="H11" t="s">
        <v>34</v>
      </c>
      <c r="I11" s="16">
        <v>16.920000000000002</v>
      </c>
    </row>
    <row r="12" spans="1:9">
      <c r="A12" s="15">
        <v>45899</v>
      </c>
      <c r="B12">
        <f t="shared" si="0"/>
        <v>2025</v>
      </c>
      <c r="C12" t="str">
        <f t="shared" si="1"/>
        <v>ago</v>
      </c>
      <c r="D12" t="str">
        <f t="shared" si="2"/>
        <v>Agosto</v>
      </c>
      <c r="E12" t="s">
        <v>6</v>
      </c>
      <c r="F12" t="s">
        <v>204</v>
      </c>
      <c r="G12" s="13" t="str">
        <f t="shared" si="3"/>
        <v/>
      </c>
      <c r="H12" t="s">
        <v>213</v>
      </c>
      <c r="I12" s="16">
        <v>34</v>
      </c>
    </row>
    <row r="13" spans="1:9">
      <c r="A13" s="15">
        <v>45899</v>
      </c>
      <c r="B13">
        <f t="shared" si="0"/>
        <v>2025</v>
      </c>
      <c r="C13" t="str">
        <f t="shared" si="1"/>
        <v>ago</v>
      </c>
      <c r="D13" t="str">
        <f t="shared" si="2"/>
        <v>Agosto</v>
      </c>
      <c r="E13" t="s">
        <v>6</v>
      </c>
      <c r="F13" t="s">
        <v>204</v>
      </c>
      <c r="G13" s="13" t="str">
        <f t="shared" si="3"/>
        <v/>
      </c>
      <c r="H13" t="s">
        <v>213</v>
      </c>
      <c r="I13" s="16">
        <v>22</v>
      </c>
    </row>
    <row r="14" spans="1:9">
      <c r="A14" s="15">
        <v>45899</v>
      </c>
      <c r="B14">
        <f t="shared" si="0"/>
        <v>2025</v>
      </c>
      <c r="C14" t="str">
        <f t="shared" si="1"/>
        <v>ago</v>
      </c>
      <c r="D14" t="str">
        <f t="shared" si="2"/>
        <v>Agosto</v>
      </c>
      <c r="E14" t="s">
        <v>6</v>
      </c>
      <c r="F14" t="s">
        <v>10</v>
      </c>
      <c r="G14" s="13" t="str">
        <f t="shared" si="3"/>
        <v/>
      </c>
      <c r="H14" t="s">
        <v>34</v>
      </c>
      <c r="I14" s="16">
        <v>58.94</v>
      </c>
    </row>
    <row r="15" spans="1:9">
      <c r="A15" s="15">
        <v>45899</v>
      </c>
      <c r="B15">
        <f t="shared" si="0"/>
        <v>2025</v>
      </c>
      <c r="C15" t="str">
        <f t="shared" si="1"/>
        <v>ago</v>
      </c>
      <c r="D15" t="str">
        <f t="shared" si="2"/>
        <v>Agosto</v>
      </c>
      <c r="E15" t="s">
        <v>6</v>
      </c>
      <c r="F15" t="s">
        <v>12</v>
      </c>
      <c r="G15" s="13" t="str">
        <f t="shared" si="3"/>
        <v/>
      </c>
      <c r="H15" t="s">
        <v>210</v>
      </c>
      <c r="I15" s="16">
        <v>15</v>
      </c>
    </row>
    <row r="16" spans="1:9">
      <c r="A16" s="15">
        <v>45900</v>
      </c>
      <c r="B16">
        <f t="shared" si="0"/>
        <v>2025</v>
      </c>
      <c r="C16" t="str">
        <f t="shared" si="1"/>
        <v>ago</v>
      </c>
      <c r="D16" t="str">
        <f t="shared" si="2"/>
        <v>Agosto</v>
      </c>
      <c r="E16" t="s">
        <v>6</v>
      </c>
      <c r="F16" t="s">
        <v>10</v>
      </c>
      <c r="G16" s="13" t="str">
        <f t="shared" si="3"/>
        <v/>
      </c>
      <c r="H16" t="s">
        <v>34</v>
      </c>
      <c r="I16" s="16">
        <v>68.97</v>
      </c>
    </row>
    <row r="17" spans="1:9">
      <c r="A17" s="15">
        <v>45900</v>
      </c>
      <c r="B17">
        <f t="shared" si="0"/>
        <v>2025</v>
      </c>
      <c r="C17" t="str">
        <f t="shared" si="1"/>
        <v>ago</v>
      </c>
      <c r="D17" t="str">
        <f t="shared" si="2"/>
        <v>Agosto</v>
      </c>
      <c r="E17" t="s">
        <v>6</v>
      </c>
      <c r="F17" t="s">
        <v>12</v>
      </c>
      <c r="G17" s="13" t="str">
        <f t="shared" si="3"/>
        <v/>
      </c>
      <c r="H17" t="s">
        <v>210</v>
      </c>
      <c r="I17" s="16">
        <v>280</v>
      </c>
    </row>
    <row r="18" spans="1:9">
      <c r="A18" s="15">
        <v>45901</v>
      </c>
      <c r="B18">
        <f t="shared" si="0"/>
        <v>2025</v>
      </c>
      <c r="C18" t="str">
        <f t="shared" si="1"/>
        <v>set</v>
      </c>
      <c r="D18" t="str">
        <f t="shared" si="2"/>
        <v>Setembro</v>
      </c>
      <c r="E18" t="s">
        <v>5</v>
      </c>
      <c r="F18" t="s">
        <v>12</v>
      </c>
      <c r="G18" s="13" t="str">
        <f t="shared" si="3"/>
        <v>Outras Receitas</v>
      </c>
      <c r="H18" t="s">
        <v>246</v>
      </c>
      <c r="I18" s="16">
        <v>70</v>
      </c>
    </row>
    <row r="19" spans="1:9">
      <c r="A19" s="15">
        <v>45901</v>
      </c>
      <c r="B19">
        <f t="shared" si="0"/>
        <v>2025</v>
      </c>
      <c r="C19" t="str">
        <f t="shared" si="1"/>
        <v>set</v>
      </c>
      <c r="D19" t="str">
        <f t="shared" si="2"/>
        <v>Setembro</v>
      </c>
      <c r="E19" t="s">
        <v>6</v>
      </c>
      <c r="F19" t="s">
        <v>12</v>
      </c>
      <c r="G19" s="13" t="str">
        <f t="shared" si="3"/>
        <v/>
      </c>
      <c r="H19" t="s">
        <v>244</v>
      </c>
      <c r="I19" s="16">
        <v>10</v>
      </c>
    </row>
    <row r="20" spans="1:9">
      <c r="A20" s="15">
        <v>45901</v>
      </c>
      <c r="B20">
        <f t="shared" si="0"/>
        <v>2025</v>
      </c>
      <c r="C20" t="str">
        <f t="shared" si="1"/>
        <v>set</v>
      </c>
      <c r="D20" t="str">
        <f t="shared" si="2"/>
        <v>Setembro</v>
      </c>
      <c r="E20" t="s">
        <v>6</v>
      </c>
      <c r="F20" t="s">
        <v>219</v>
      </c>
      <c r="G20" s="13" t="str">
        <f t="shared" si="3"/>
        <v/>
      </c>
      <c r="H20" t="s">
        <v>220</v>
      </c>
      <c r="I20" s="16">
        <v>9.99</v>
      </c>
    </row>
    <row r="21" spans="1:9">
      <c r="A21" s="15">
        <v>45903</v>
      </c>
      <c r="B21">
        <f t="shared" si="0"/>
        <v>2025</v>
      </c>
      <c r="C21" t="str">
        <f t="shared" si="1"/>
        <v>set</v>
      </c>
      <c r="D21" t="str">
        <f t="shared" si="2"/>
        <v>Setembro</v>
      </c>
      <c r="E21" t="s">
        <v>6</v>
      </c>
      <c r="F21" t="s">
        <v>204</v>
      </c>
      <c r="G21" s="13" t="str">
        <f t="shared" si="3"/>
        <v/>
      </c>
      <c r="H21" t="s">
        <v>214</v>
      </c>
      <c r="I21" s="16">
        <v>22.79</v>
      </c>
    </row>
    <row r="22" spans="1:9">
      <c r="A22" s="15">
        <v>45906</v>
      </c>
      <c r="B22">
        <f t="shared" si="0"/>
        <v>2025</v>
      </c>
      <c r="C22" t="str">
        <f t="shared" si="1"/>
        <v>set</v>
      </c>
      <c r="D22" t="str">
        <f t="shared" si="2"/>
        <v>Setembro</v>
      </c>
      <c r="E22" t="s">
        <v>6</v>
      </c>
      <c r="F22" t="s">
        <v>12</v>
      </c>
      <c r="G22" s="13" t="str">
        <f t="shared" si="3"/>
        <v/>
      </c>
      <c r="H22" t="s">
        <v>28</v>
      </c>
      <c r="I22" s="16">
        <v>86</v>
      </c>
    </row>
    <row r="23" spans="1:9">
      <c r="A23" s="15">
        <v>45906</v>
      </c>
      <c r="B23">
        <f t="shared" si="0"/>
        <v>2025</v>
      </c>
      <c r="C23" t="str">
        <f t="shared" si="1"/>
        <v>set</v>
      </c>
      <c r="D23" t="str">
        <f t="shared" si="2"/>
        <v>Setembro</v>
      </c>
      <c r="E23" t="s">
        <v>6</v>
      </c>
      <c r="F23" t="s">
        <v>12</v>
      </c>
      <c r="G23" s="13" t="str">
        <f t="shared" si="3"/>
        <v/>
      </c>
      <c r="H23" t="s">
        <v>210</v>
      </c>
      <c r="I23" s="16">
        <v>170</v>
      </c>
    </row>
    <row r="24" spans="1:9">
      <c r="A24" s="15">
        <v>45909</v>
      </c>
      <c r="B24">
        <f t="shared" si="0"/>
        <v>2025</v>
      </c>
      <c r="C24" t="str">
        <f t="shared" si="1"/>
        <v>set</v>
      </c>
      <c r="D24" t="str">
        <f t="shared" si="2"/>
        <v>Setembro</v>
      </c>
      <c r="E24" t="s">
        <v>6</v>
      </c>
      <c r="F24" t="s">
        <v>204</v>
      </c>
      <c r="G24" s="13" t="str">
        <f t="shared" si="3"/>
        <v/>
      </c>
      <c r="H24" t="s">
        <v>30</v>
      </c>
      <c r="I24" s="16">
        <v>21</v>
      </c>
    </row>
    <row r="25" spans="1:9">
      <c r="A25" s="15">
        <v>45910</v>
      </c>
      <c r="B25">
        <f t="shared" si="0"/>
        <v>2025</v>
      </c>
      <c r="C25" t="str">
        <f t="shared" si="1"/>
        <v>set</v>
      </c>
      <c r="D25" t="str">
        <f t="shared" si="2"/>
        <v>Setembro</v>
      </c>
      <c r="E25" t="s">
        <v>6</v>
      </c>
      <c r="F25" t="s">
        <v>222</v>
      </c>
      <c r="G25" s="13" t="str">
        <f t="shared" si="3"/>
        <v/>
      </c>
      <c r="H25" t="s">
        <v>215</v>
      </c>
      <c r="I25" s="16">
        <v>105</v>
      </c>
    </row>
    <row r="26" spans="1:9">
      <c r="A26" s="15">
        <v>45913</v>
      </c>
      <c r="B26">
        <f t="shared" si="0"/>
        <v>2025</v>
      </c>
      <c r="C26" t="str">
        <f t="shared" si="1"/>
        <v>set</v>
      </c>
      <c r="D26" t="str">
        <f t="shared" si="2"/>
        <v>Setembro</v>
      </c>
      <c r="E26" t="s">
        <v>6</v>
      </c>
      <c r="F26" t="s">
        <v>12</v>
      </c>
      <c r="G26" s="13" t="str">
        <f t="shared" si="3"/>
        <v/>
      </c>
      <c r="H26" t="s">
        <v>35</v>
      </c>
      <c r="I26" s="16">
        <v>10</v>
      </c>
    </row>
    <row r="27" spans="1:9">
      <c r="A27" s="15">
        <v>45913</v>
      </c>
      <c r="B27">
        <f t="shared" si="0"/>
        <v>2025</v>
      </c>
      <c r="C27" t="str">
        <f t="shared" si="1"/>
        <v>set</v>
      </c>
      <c r="D27" t="str">
        <f t="shared" si="2"/>
        <v>Setembro</v>
      </c>
      <c r="E27" t="s">
        <v>6</v>
      </c>
      <c r="F27" t="s">
        <v>12</v>
      </c>
      <c r="G27" s="13" t="str">
        <f t="shared" si="3"/>
        <v/>
      </c>
      <c r="H27" t="s">
        <v>35</v>
      </c>
      <c r="I27" s="16">
        <v>90</v>
      </c>
    </row>
    <row r="28" spans="1:9">
      <c r="A28" s="15">
        <v>45913</v>
      </c>
      <c r="B28">
        <f t="shared" si="0"/>
        <v>2025</v>
      </c>
      <c r="C28" t="str">
        <f t="shared" si="1"/>
        <v>set</v>
      </c>
      <c r="D28" t="str">
        <f t="shared" si="2"/>
        <v>Setembro</v>
      </c>
      <c r="E28" t="s">
        <v>6</v>
      </c>
      <c r="F28" t="s">
        <v>10</v>
      </c>
      <c r="G28" s="13" t="str">
        <f t="shared" si="3"/>
        <v/>
      </c>
      <c r="H28" t="s">
        <v>34</v>
      </c>
      <c r="I28" s="16">
        <v>76.42</v>
      </c>
    </row>
    <row r="29" spans="1:9">
      <c r="A29" s="15">
        <v>45913</v>
      </c>
      <c r="B29">
        <f t="shared" si="0"/>
        <v>2025</v>
      </c>
      <c r="C29" t="str">
        <f t="shared" si="1"/>
        <v>set</v>
      </c>
      <c r="D29" t="str">
        <f t="shared" si="2"/>
        <v>Setembro</v>
      </c>
      <c r="E29" t="s">
        <v>6</v>
      </c>
      <c r="F29" t="s">
        <v>12</v>
      </c>
      <c r="G29" s="13" t="str">
        <f t="shared" si="3"/>
        <v/>
      </c>
      <c r="H29" t="s">
        <v>210</v>
      </c>
      <c r="I29" s="16">
        <v>84</v>
      </c>
    </row>
    <row r="30" spans="1:9">
      <c r="A30" s="15">
        <v>45913</v>
      </c>
      <c r="B30">
        <f t="shared" si="0"/>
        <v>2025</v>
      </c>
      <c r="C30" t="str">
        <f t="shared" si="1"/>
        <v>set</v>
      </c>
      <c r="D30" t="str">
        <f t="shared" si="2"/>
        <v>Setembro</v>
      </c>
      <c r="E30" t="s">
        <v>6</v>
      </c>
      <c r="F30" t="s">
        <v>10</v>
      </c>
      <c r="G30" s="13" t="str">
        <f t="shared" si="3"/>
        <v/>
      </c>
      <c r="H30" t="s">
        <v>34</v>
      </c>
      <c r="I30" s="16">
        <v>17.829999999999998</v>
      </c>
    </row>
    <row r="31" spans="1:9">
      <c r="A31" s="15">
        <v>45914</v>
      </c>
      <c r="B31">
        <f t="shared" si="0"/>
        <v>2025</v>
      </c>
      <c r="C31" t="str">
        <f t="shared" si="1"/>
        <v>set</v>
      </c>
      <c r="D31" t="str">
        <f t="shared" si="2"/>
        <v>Setembro</v>
      </c>
      <c r="E31" t="s">
        <v>6</v>
      </c>
      <c r="F31" t="s">
        <v>10</v>
      </c>
      <c r="G31" s="13" t="str">
        <f t="shared" si="3"/>
        <v/>
      </c>
      <c r="H31" t="s">
        <v>34</v>
      </c>
      <c r="I31" s="16">
        <v>24.27</v>
      </c>
    </row>
    <row r="32" spans="1:9">
      <c r="A32" s="15">
        <v>45914</v>
      </c>
      <c r="B32">
        <f t="shared" si="0"/>
        <v>2025</v>
      </c>
      <c r="C32" t="str">
        <f t="shared" si="1"/>
        <v>set</v>
      </c>
      <c r="D32" t="str">
        <f t="shared" si="2"/>
        <v>Setembro</v>
      </c>
      <c r="E32" t="s">
        <v>6</v>
      </c>
      <c r="F32" t="s">
        <v>204</v>
      </c>
      <c r="G32" s="13" t="str">
        <f t="shared" si="3"/>
        <v/>
      </c>
      <c r="H32" t="s">
        <v>111</v>
      </c>
      <c r="I32" s="16">
        <v>10.99</v>
      </c>
    </row>
    <row r="33" spans="1:9">
      <c r="A33" s="15">
        <v>45917</v>
      </c>
      <c r="B33">
        <f t="shared" si="0"/>
        <v>2025</v>
      </c>
      <c r="C33" t="str">
        <f t="shared" si="1"/>
        <v>set</v>
      </c>
      <c r="D33" t="str">
        <f t="shared" si="2"/>
        <v>Setembro</v>
      </c>
      <c r="E33" t="s">
        <v>6</v>
      </c>
      <c r="F33" t="s">
        <v>204</v>
      </c>
      <c r="G33" s="13" t="str">
        <f t="shared" si="3"/>
        <v/>
      </c>
      <c r="H33" t="s">
        <v>214</v>
      </c>
      <c r="I33" s="16">
        <v>17.989999999999998</v>
      </c>
    </row>
    <row r="34" spans="1:9">
      <c r="A34" s="15">
        <v>45918</v>
      </c>
      <c r="B34">
        <f t="shared" si="0"/>
        <v>2025</v>
      </c>
      <c r="C34" t="str">
        <f t="shared" si="1"/>
        <v>set</v>
      </c>
      <c r="D34" t="str">
        <f t="shared" si="2"/>
        <v>Setembro</v>
      </c>
      <c r="E34" t="s">
        <v>6</v>
      </c>
      <c r="F34" t="s">
        <v>219</v>
      </c>
      <c r="G34" s="13" t="str">
        <f t="shared" si="3"/>
        <v/>
      </c>
      <c r="H34" t="s">
        <v>220</v>
      </c>
      <c r="I34" s="16">
        <v>9.99</v>
      </c>
    </row>
    <row r="35" spans="1:9">
      <c r="A35" s="15">
        <v>45918</v>
      </c>
      <c r="B35">
        <f t="shared" si="0"/>
        <v>2025</v>
      </c>
      <c r="C35" t="str">
        <f t="shared" si="1"/>
        <v>set</v>
      </c>
      <c r="D35" t="str">
        <f t="shared" si="2"/>
        <v>Setembro</v>
      </c>
      <c r="E35" t="s">
        <v>6</v>
      </c>
      <c r="F35" t="s">
        <v>204</v>
      </c>
      <c r="G35" s="13" t="str">
        <f t="shared" si="3"/>
        <v/>
      </c>
      <c r="H35" t="s">
        <v>214</v>
      </c>
      <c r="I35" s="16">
        <v>6</v>
      </c>
    </row>
    <row r="36" spans="1:9">
      <c r="A36" s="15">
        <v>45919</v>
      </c>
      <c r="B36">
        <f t="shared" si="0"/>
        <v>2025</v>
      </c>
      <c r="C36" t="str">
        <f t="shared" si="1"/>
        <v>set</v>
      </c>
      <c r="D36" t="str">
        <f t="shared" si="2"/>
        <v>Setembro</v>
      </c>
      <c r="E36" t="s">
        <v>5</v>
      </c>
      <c r="F36" t="s">
        <v>201</v>
      </c>
      <c r="G36" s="13" t="str">
        <f t="shared" si="3"/>
        <v>Outras Receitas</v>
      </c>
      <c r="H36" t="s">
        <v>95</v>
      </c>
      <c r="I36" s="16">
        <v>3771.76</v>
      </c>
    </row>
    <row r="37" spans="1:9">
      <c r="A37" s="15">
        <v>45920</v>
      </c>
      <c r="B37">
        <f t="shared" si="0"/>
        <v>2025</v>
      </c>
      <c r="C37" t="str">
        <f t="shared" si="1"/>
        <v>set</v>
      </c>
      <c r="D37" t="str">
        <f t="shared" si="2"/>
        <v>Setembro</v>
      </c>
      <c r="E37" t="s">
        <v>6</v>
      </c>
      <c r="F37" t="s">
        <v>10</v>
      </c>
      <c r="G37" s="13" t="str">
        <f t="shared" si="3"/>
        <v/>
      </c>
      <c r="H37" t="s">
        <v>34</v>
      </c>
      <c r="I37" s="16">
        <v>47.7</v>
      </c>
    </row>
    <row r="38" spans="1:9">
      <c r="A38" s="15">
        <v>45920</v>
      </c>
      <c r="B38">
        <f t="shared" si="0"/>
        <v>2025</v>
      </c>
      <c r="C38" t="str">
        <f t="shared" si="1"/>
        <v>set</v>
      </c>
      <c r="D38" t="str">
        <f t="shared" si="2"/>
        <v>Setembro</v>
      </c>
      <c r="E38" t="s">
        <v>6</v>
      </c>
      <c r="F38" t="s">
        <v>12</v>
      </c>
      <c r="G38" s="13" t="str">
        <f t="shared" si="3"/>
        <v/>
      </c>
      <c r="H38" t="s">
        <v>210</v>
      </c>
      <c r="I38" s="16">
        <v>56.1</v>
      </c>
    </row>
    <row r="39" spans="1:9">
      <c r="A39" s="15">
        <v>45920</v>
      </c>
      <c r="B39">
        <f t="shared" si="0"/>
        <v>2025</v>
      </c>
      <c r="C39" t="str">
        <f t="shared" si="1"/>
        <v>set</v>
      </c>
      <c r="D39" t="str">
        <f t="shared" si="2"/>
        <v>Setembro</v>
      </c>
      <c r="E39" t="s">
        <v>6</v>
      </c>
      <c r="F39" t="s">
        <v>10</v>
      </c>
      <c r="G39" s="13" t="str">
        <f t="shared" si="3"/>
        <v/>
      </c>
      <c r="H39" t="s">
        <v>34</v>
      </c>
      <c r="I39" s="16">
        <v>24.9</v>
      </c>
    </row>
    <row r="40" spans="1:9">
      <c r="A40" s="15">
        <v>45926</v>
      </c>
      <c r="B40">
        <f t="shared" si="0"/>
        <v>2025</v>
      </c>
      <c r="C40" t="str">
        <f t="shared" si="1"/>
        <v>set</v>
      </c>
      <c r="D40" t="str">
        <f t="shared" si="2"/>
        <v>Setembro</v>
      </c>
      <c r="E40" t="s">
        <v>251</v>
      </c>
      <c r="F40" t="s">
        <v>9</v>
      </c>
      <c r="G40" s="13" t="str">
        <f t="shared" si="3"/>
        <v/>
      </c>
      <c r="H40" t="s">
        <v>218</v>
      </c>
      <c r="I40" s="16">
        <v>1429.23</v>
      </c>
    </row>
    <row r="41" spans="1:9">
      <c r="A41" s="15">
        <v>45926</v>
      </c>
      <c r="B41">
        <f t="shared" si="0"/>
        <v>2025</v>
      </c>
      <c r="C41" t="str">
        <f t="shared" si="1"/>
        <v>set</v>
      </c>
      <c r="D41" t="str">
        <f t="shared" si="2"/>
        <v>Setembro</v>
      </c>
      <c r="E41" t="s">
        <v>6</v>
      </c>
      <c r="F41" t="s">
        <v>11</v>
      </c>
      <c r="G41" s="13" t="str">
        <f t="shared" si="3"/>
        <v/>
      </c>
      <c r="H41" t="s">
        <v>223</v>
      </c>
      <c r="I41" s="16">
        <v>62.28</v>
      </c>
    </row>
    <row r="42" spans="1:9">
      <c r="A42" s="15">
        <v>45927</v>
      </c>
      <c r="B42">
        <f t="shared" si="0"/>
        <v>2025</v>
      </c>
      <c r="C42" t="str">
        <f t="shared" si="1"/>
        <v>set</v>
      </c>
      <c r="D42" t="str">
        <f t="shared" si="2"/>
        <v>Setembro</v>
      </c>
      <c r="E42" t="s">
        <v>6</v>
      </c>
      <c r="F42" t="s">
        <v>204</v>
      </c>
      <c r="G42" s="13" t="str">
        <f t="shared" si="3"/>
        <v/>
      </c>
      <c r="H42" t="s">
        <v>30</v>
      </c>
      <c r="I42" s="16">
        <v>14</v>
      </c>
    </row>
    <row r="43" spans="1:9">
      <c r="A43" s="15">
        <v>45927</v>
      </c>
      <c r="B43">
        <f t="shared" si="0"/>
        <v>2025</v>
      </c>
      <c r="C43" t="str">
        <f t="shared" si="1"/>
        <v>set</v>
      </c>
      <c r="D43" t="str">
        <f t="shared" si="2"/>
        <v>Setembro</v>
      </c>
      <c r="E43" t="s">
        <v>6</v>
      </c>
      <c r="F43" t="s">
        <v>204</v>
      </c>
      <c r="G43" s="13" t="str">
        <f t="shared" si="3"/>
        <v/>
      </c>
      <c r="H43" t="s">
        <v>30</v>
      </c>
      <c r="I43" s="16">
        <v>57</v>
      </c>
    </row>
    <row r="44" spans="1:9">
      <c r="A44" s="15">
        <v>45929</v>
      </c>
      <c r="B44">
        <f t="shared" si="0"/>
        <v>2025</v>
      </c>
      <c r="C44" t="str">
        <f t="shared" si="1"/>
        <v>set</v>
      </c>
      <c r="D44" t="str">
        <f t="shared" si="2"/>
        <v>Setembro</v>
      </c>
      <c r="E44" t="s">
        <v>5</v>
      </c>
      <c r="F44" t="s">
        <v>201</v>
      </c>
      <c r="G44" s="13" t="str">
        <f t="shared" si="3"/>
        <v>Salário</v>
      </c>
      <c r="H44" t="s">
        <v>7</v>
      </c>
      <c r="I44" s="16">
        <v>5005.1000000000004</v>
      </c>
    </row>
    <row r="45" spans="1:9">
      <c r="A45" s="15">
        <v>45929</v>
      </c>
      <c r="B45">
        <f t="shared" si="0"/>
        <v>2025</v>
      </c>
      <c r="C45" t="str">
        <f t="shared" si="1"/>
        <v>set</v>
      </c>
      <c r="D45" t="str">
        <f t="shared" si="2"/>
        <v>Setembro</v>
      </c>
      <c r="E45" t="s">
        <v>251</v>
      </c>
      <c r="F45" t="s">
        <v>224</v>
      </c>
      <c r="G45" s="13" t="str">
        <f t="shared" si="3"/>
        <v/>
      </c>
      <c r="H45" t="s">
        <v>239</v>
      </c>
      <c r="I45" s="16">
        <v>252</v>
      </c>
    </row>
    <row r="46" spans="1:9">
      <c r="A46" s="15">
        <v>45929</v>
      </c>
      <c r="B46">
        <f t="shared" si="0"/>
        <v>2025</v>
      </c>
      <c r="C46" t="str">
        <f t="shared" si="1"/>
        <v>set</v>
      </c>
      <c r="D46" t="str">
        <f t="shared" si="2"/>
        <v>Setembro</v>
      </c>
      <c r="E46" t="s">
        <v>251</v>
      </c>
      <c r="F46" t="s">
        <v>224</v>
      </c>
      <c r="G46" s="13" t="str">
        <f t="shared" si="3"/>
        <v/>
      </c>
      <c r="H46" t="s">
        <v>241</v>
      </c>
      <c r="I46" s="16">
        <v>4.13</v>
      </c>
    </row>
    <row r="47" spans="1:9">
      <c r="A47" s="15">
        <v>45929</v>
      </c>
      <c r="B47">
        <f t="shared" si="0"/>
        <v>2025</v>
      </c>
      <c r="C47" t="str">
        <f t="shared" si="1"/>
        <v>set</v>
      </c>
      <c r="D47" t="str">
        <f t="shared" si="2"/>
        <v>Setembro</v>
      </c>
      <c r="E47" t="s">
        <v>5</v>
      </c>
      <c r="F47" t="s">
        <v>12</v>
      </c>
      <c r="G47" s="13" t="str">
        <f t="shared" si="3"/>
        <v>Outras Receitas</v>
      </c>
      <c r="H47" t="s">
        <v>246</v>
      </c>
      <c r="I47" s="16">
        <v>12</v>
      </c>
    </row>
    <row r="48" spans="1:9">
      <c r="A48" s="15">
        <v>45930</v>
      </c>
      <c r="B48">
        <f t="shared" si="0"/>
        <v>2025</v>
      </c>
      <c r="C48" t="str">
        <f t="shared" si="1"/>
        <v>set</v>
      </c>
      <c r="D48" t="str">
        <f t="shared" si="2"/>
        <v>Setembro</v>
      </c>
      <c r="E48" t="s">
        <v>6</v>
      </c>
      <c r="F48" t="s">
        <v>11</v>
      </c>
      <c r="G48" s="13" t="str">
        <f t="shared" si="3"/>
        <v/>
      </c>
      <c r="H48" t="s">
        <v>216</v>
      </c>
      <c r="I48" s="16">
        <v>245</v>
      </c>
    </row>
    <row r="49" spans="1:9">
      <c r="A49" s="15">
        <v>45933</v>
      </c>
      <c r="B49">
        <f t="shared" si="0"/>
        <v>2025</v>
      </c>
      <c r="C49" t="str">
        <f t="shared" si="1"/>
        <v>out</v>
      </c>
      <c r="D49" t="str">
        <f t="shared" si="2"/>
        <v>Outubro</v>
      </c>
      <c r="E49" t="s">
        <v>6</v>
      </c>
      <c r="F49" t="s">
        <v>10</v>
      </c>
      <c r="G49" s="13" t="str">
        <f t="shared" si="3"/>
        <v/>
      </c>
      <c r="H49" t="s">
        <v>34</v>
      </c>
      <c r="I49" s="16">
        <v>70</v>
      </c>
    </row>
    <row r="50" spans="1:9">
      <c r="A50" s="15">
        <v>45934</v>
      </c>
      <c r="B50">
        <f t="shared" si="0"/>
        <v>2025</v>
      </c>
      <c r="C50" t="str">
        <f t="shared" si="1"/>
        <v>out</v>
      </c>
      <c r="D50" t="str">
        <f t="shared" si="2"/>
        <v>Outubro</v>
      </c>
      <c r="E50" t="s">
        <v>6</v>
      </c>
      <c r="F50" t="s">
        <v>10</v>
      </c>
      <c r="G50" s="13" t="str">
        <f t="shared" si="3"/>
        <v/>
      </c>
      <c r="H50" t="s">
        <v>34</v>
      </c>
      <c r="I50" s="16">
        <v>49.7</v>
      </c>
    </row>
    <row r="51" spans="1:9">
      <c r="A51" s="15">
        <v>45935</v>
      </c>
      <c r="B51">
        <f t="shared" si="0"/>
        <v>2025</v>
      </c>
      <c r="C51" t="str">
        <f t="shared" si="1"/>
        <v>out</v>
      </c>
      <c r="D51" t="str">
        <f t="shared" si="2"/>
        <v>Outubro</v>
      </c>
      <c r="E51" t="s">
        <v>6</v>
      </c>
      <c r="F51" t="s">
        <v>10</v>
      </c>
      <c r="G51" s="13" t="str">
        <f t="shared" si="3"/>
        <v/>
      </c>
      <c r="H51" t="s">
        <v>34</v>
      </c>
      <c r="I51" s="16">
        <v>79.61</v>
      </c>
    </row>
    <row r="52" spans="1:9">
      <c r="A52" s="15">
        <v>45940</v>
      </c>
      <c r="B52">
        <f t="shared" si="0"/>
        <v>2025</v>
      </c>
      <c r="C52" t="str">
        <f t="shared" si="1"/>
        <v>out</v>
      </c>
      <c r="D52" t="str">
        <f t="shared" si="2"/>
        <v>Outubro</v>
      </c>
      <c r="E52" t="s">
        <v>6</v>
      </c>
      <c r="F52" t="s">
        <v>219</v>
      </c>
      <c r="G52" s="13" t="str">
        <f t="shared" si="3"/>
        <v/>
      </c>
      <c r="H52" t="s">
        <v>221</v>
      </c>
      <c r="I52" s="16">
        <v>124.89</v>
      </c>
    </row>
    <row r="53" spans="1:9">
      <c r="A53" s="15">
        <v>45940</v>
      </c>
      <c r="B53">
        <f t="shared" si="0"/>
        <v>2025</v>
      </c>
      <c r="C53" t="str">
        <f t="shared" si="1"/>
        <v>out</v>
      </c>
      <c r="D53" t="str">
        <f t="shared" si="2"/>
        <v>Outubro</v>
      </c>
      <c r="E53" t="s">
        <v>251</v>
      </c>
      <c r="F53" t="s">
        <v>9</v>
      </c>
      <c r="G53" s="13" t="str">
        <f t="shared" si="3"/>
        <v/>
      </c>
      <c r="H53" t="s">
        <v>218</v>
      </c>
      <c r="I53" s="16">
        <v>1399.8</v>
      </c>
    </row>
    <row r="54" spans="1:9">
      <c r="A54" s="15">
        <v>45940</v>
      </c>
      <c r="B54">
        <f t="shared" si="0"/>
        <v>2025</v>
      </c>
      <c r="C54" t="str">
        <f t="shared" si="1"/>
        <v>out</v>
      </c>
      <c r="D54" t="str">
        <f t="shared" si="2"/>
        <v>Outubro</v>
      </c>
      <c r="E54" t="s">
        <v>6</v>
      </c>
      <c r="F54" t="s">
        <v>204</v>
      </c>
      <c r="G54" s="13" t="str">
        <f t="shared" si="3"/>
        <v/>
      </c>
      <c r="H54" t="s">
        <v>205</v>
      </c>
      <c r="I54" s="16">
        <v>235.28</v>
      </c>
    </row>
    <row r="55" spans="1:9">
      <c r="A55" s="15">
        <v>45941</v>
      </c>
      <c r="B55">
        <f t="shared" si="0"/>
        <v>2025</v>
      </c>
      <c r="C55" t="str">
        <f t="shared" si="1"/>
        <v>out</v>
      </c>
      <c r="D55" t="str">
        <f t="shared" si="2"/>
        <v>Outubro</v>
      </c>
      <c r="E55" t="s">
        <v>6</v>
      </c>
      <c r="F55" t="s">
        <v>10</v>
      </c>
      <c r="G55" s="13" t="str">
        <f t="shared" si="3"/>
        <v/>
      </c>
      <c r="H55" t="s">
        <v>34</v>
      </c>
      <c r="I55" s="16">
        <v>30.92</v>
      </c>
    </row>
    <row r="56" spans="1:9">
      <c r="A56" s="15">
        <v>45941</v>
      </c>
      <c r="B56">
        <f t="shared" si="0"/>
        <v>2025</v>
      </c>
      <c r="C56" t="str">
        <f t="shared" si="1"/>
        <v>out</v>
      </c>
      <c r="D56" t="str">
        <f t="shared" si="2"/>
        <v>Outubro</v>
      </c>
      <c r="E56" t="s">
        <v>6</v>
      </c>
      <c r="F56" t="s">
        <v>12</v>
      </c>
      <c r="G56" s="13" t="str">
        <f t="shared" si="3"/>
        <v/>
      </c>
      <c r="H56" t="s">
        <v>244</v>
      </c>
      <c r="I56" s="16">
        <v>140</v>
      </c>
    </row>
    <row r="57" spans="1:9">
      <c r="A57" s="15">
        <v>45942</v>
      </c>
      <c r="B57">
        <f t="shared" si="0"/>
        <v>2025</v>
      </c>
      <c r="C57" t="str">
        <f t="shared" si="1"/>
        <v>out</v>
      </c>
      <c r="D57" t="str">
        <f t="shared" si="2"/>
        <v>Outubro</v>
      </c>
      <c r="E57" t="s">
        <v>6</v>
      </c>
      <c r="F57" t="s">
        <v>11</v>
      </c>
      <c r="G57" s="13" t="str">
        <f t="shared" si="3"/>
        <v/>
      </c>
      <c r="H57" t="s">
        <v>223</v>
      </c>
      <c r="I57" s="16">
        <v>27.74</v>
      </c>
    </row>
    <row r="58" spans="1:9">
      <c r="A58" s="15">
        <v>45942</v>
      </c>
      <c r="B58">
        <f t="shared" si="0"/>
        <v>2025</v>
      </c>
      <c r="C58" t="str">
        <f t="shared" si="1"/>
        <v>out</v>
      </c>
      <c r="D58" t="str">
        <f t="shared" si="2"/>
        <v>Outubro</v>
      </c>
      <c r="E58" t="s">
        <v>6</v>
      </c>
      <c r="F58" t="s">
        <v>204</v>
      </c>
      <c r="G58" s="13" t="str">
        <f t="shared" si="3"/>
        <v/>
      </c>
      <c r="H58" t="s">
        <v>205</v>
      </c>
      <c r="I58" s="16">
        <v>159.38</v>
      </c>
    </row>
    <row r="59" spans="1:9">
      <c r="A59" s="15">
        <v>45943</v>
      </c>
      <c r="B59">
        <f t="shared" si="0"/>
        <v>2025</v>
      </c>
      <c r="C59" t="str">
        <f t="shared" si="1"/>
        <v>out</v>
      </c>
      <c r="D59" t="str">
        <f t="shared" si="2"/>
        <v>Outubro</v>
      </c>
      <c r="E59" t="s">
        <v>6</v>
      </c>
      <c r="F59" t="s">
        <v>12</v>
      </c>
      <c r="G59" s="13" t="str">
        <f t="shared" si="3"/>
        <v/>
      </c>
      <c r="H59" t="s">
        <v>228</v>
      </c>
      <c r="I59" s="16">
        <v>55</v>
      </c>
    </row>
    <row r="60" spans="1:9">
      <c r="A60" s="15">
        <v>45945</v>
      </c>
      <c r="B60">
        <f t="shared" si="0"/>
        <v>2025</v>
      </c>
      <c r="C60" t="str">
        <f t="shared" si="1"/>
        <v>out</v>
      </c>
      <c r="D60" t="str">
        <f t="shared" si="2"/>
        <v>Outubro</v>
      </c>
      <c r="E60" t="s">
        <v>6</v>
      </c>
      <c r="F60" t="s">
        <v>12</v>
      </c>
      <c r="G60" s="13" t="str">
        <f t="shared" si="3"/>
        <v/>
      </c>
      <c r="H60" t="s">
        <v>246</v>
      </c>
      <c r="I60" s="16">
        <v>66</v>
      </c>
    </row>
    <row r="61" spans="1:9">
      <c r="A61" s="15">
        <v>45947</v>
      </c>
      <c r="B61">
        <f t="shared" si="0"/>
        <v>2025</v>
      </c>
      <c r="C61" t="str">
        <f t="shared" si="1"/>
        <v>out</v>
      </c>
      <c r="D61" t="str">
        <f t="shared" si="2"/>
        <v>Outubro</v>
      </c>
      <c r="E61" t="s">
        <v>6</v>
      </c>
      <c r="F61" t="s">
        <v>222</v>
      </c>
      <c r="G61" s="13" t="str">
        <f t="shared" si="3"/>
        <v/>
      </c>
      <c r="H61" t="s">
        <v>215</v>
      </c>
      <c r="I61" s="16">
        <v>115</v>
      </c>
    </row>
    <row r="62" spans="1:9">
      <c r="A62" s="15">
        <v>45947</v>
      </c>
      <c r="B62">
        <f t="shared" si="0"/>
        <v>2025</v>
      </c>
      <c r="C62" t="str">
        <f t="shared" si="1"/>
        <v>out</v>
      </c>
      <c r="D62" t="str">
        <f t="shared" si="2"/>
        <v>Outubro</v>
      </c>
      <c r="E62" t="s">
        <v>6</v>
      </c>
      <c r="F62" t="s">
        <v>10</v>
      </c>
      <c r="G62" s="13" t="str">
        <f t="shared" si="3"/>
        <v/>
      </c>
      <c r="H62" t="s">
        <v>34</v>
      </c>
      <c r="I62" s="16">
        <v>38.58</v>
      </c>
    </row>
    <row r="63" spans="1:9">
      <c r="A63" s="15">
        <v>45948</v>
      </c>
      <c r="B63">
        <f t="shared" si="0"/>
        <v>2025</v>
      </c>
      <c r="C63" t="str">
        <f t="shared" si="1"/>
        <v>out</v>
      </c>
      <c r="D63" t="str">
        <f t="shared" si="2"/>
        <v>Outubro</v>
      </c>
      <c r="E63" t="s">
        <v>6</v>
      </c>
      <c r="F63" t="s">
        <v>12</v>
      </c>
      <c r="G63" s="13" t="str">
        <f t="shared" si="3"/>
        <v/>
      </c>
      <c r="H63" t="s">
        <v>210</v>
      </c>
      <c r="I63" s="16">
        <v>59.4</v>
      </c>
    </row>
    <row r="64" spans="1:9">
      <c r="A64" s="15">
        <v>45949</v>
      </c>
      <c r="B64">
        <f t="shared" ref="B64:B127" si="4">YEAR(A64)</f>
        <v>2025</v>
      </c>
      <c r="C64" t="str">
        <f t="shared" ref="C64:C127" si="5">TEXT(A64,"mmm")</f>
        <v>out</v>
      </c>
      <c r="D64" t="str">
        <f t="shared" ref="D64:D127" si="6">PROPER(TEXT(A64,"Mmmm"))</f>
        <v>Outubro</v>
      </c>
      <c r="E64" t="s">
        <v>6</v>
      </c>
      <c r="F64" t="s">
        <v>10</v>
      </c>
      <c r="G64" s="13" t="str">
        <f t="shared" si="3"/>
        <v/>
      </c>
      <c r="H64" t="s">
        <v>34</v>
      </c>
      <c r="I64" s="16">
        <v>75.97</v>
      </c>
    </row>
    <row r="65" spans="1:9">
      <c r="A65" s="15">
        <v>45950</v>
      </c>
      <c r="B65">
        <f t="shared" si="4"/>
        <v>2025</v>
      </c>
      <c r="C65" t="str">
        <f t="shared" si="5"/>
        <v>out</v>
      </c>
      <c r="D65" t="str">
        <f t="shared" si="6"/>
        <v>Outubro</v>
      </c>
      <c r="E65" t="s">
        <v>6</v>
      </c>
      <c r="F65" t="s">
        <v>12</v>
      </c>
      <c r="G65" s="13" t="str">
        <f t="shared" si="3"/>
        <v/>
      </c>
      <c r="H65" t="s">
        <v>246</v>
      </c>
      <c r="I65" s="16">
        <v>50</v>
      </c>
    </row>
    <row r="66" spans="1:9">
      <c r="A66" s="15">
        <v>45951</v>
      </c>
      <c r="B66">
        <f t="shared" si="4"/>
        <v>2025</v>
      </c>
      <c r="C66" t="str">
        <f t="shared" si="5"/>
        <v>out</v>
      </c>
      <c r="D66" t="str">
        <f t="shared" si="6"/>
        <v>Outubro</v>
      </c>
      <c r="E66" t="s">
        <v>6</v>
      </c>
      <c r="F66" t="s">
        <v>12</v>
      </c>
      <c r="G66" s="13" t="str">
        <f t="shared" si="3"/>
        <v/>
      </c>
      <c r="H66" t="s">
        <v>246</v>
      </c>
      <c r="I66" s="16">
        <v>30</v>
      </c>
    </row>
    <row r="67" spans="1:9">
      <c r="A67" s="15">
        <v>45951</v>
      </c>
      <c r="B67">
        <f t="shared" si="4"/>
        <v>2025</v>
      </c>
      <c r="C67" t="str">
        <f t="shared" si="5"/>
        <v>out</v>
      </c>
      <c r="D67" t="str">
        <f t="shared" si="6"/>
        <v>Outubro</v>
      </c>
      <c r="E67" t="s">
        <v>6</v>
      </c>
      <c r="F67" t="s">
        <v>219</v>
      </c>
      <c r="G67" s="13" t="str">
        <f t="shared" ref="G67:G130" si="7">IF(E67="Receita",IF(H67="Salário","Salário","Outras Receitas"),"")</f>
        <v/>
      </c>
      <c r="H67" t="s">
        <v>220</v>
      </c>
      <c r="I67" s="16">
        <v>9.99</v>
      </c>
    </row>
    <row r="68" spans="1:9">
      <c r="A68" s="15">
        <v>45954</v>
      </c>
      <c r="B68">
        <f t="shared" si="4"/>
        <v>2025</v>
      </c>
      <c r="C68" t="str">
        <f t="shared" si="5"/>
        <v>out</v>
      </c>
      <c r="D68" t="str">
        <f t="shared" si="6"/>
        <v>Outubro</v>
      </c>
      <c r="E68" t="s">
        <v>6</v>
      </c>
      <c r="F68" t="s">
        <v>204</v>
      </c>
      <c r="G68" s="13" t="str">
        <f t="shared" si="7"/>
        <v/>
      </c>
      <c r="H68" t="s">
        <v>22</v>
      </c>
      <c r="I68" s="16">
        <v>24.98</v>
      </c>
    </row>
    <row r="69" spans="1:9">
      <c r="A69" s="15">
        <v>45956</v>
      </c>
      <c r="B69">
        <f t="shared" si="4"/>
        <v>2025</v>
      </c>
      <c r="C69" t="str">
        <f t="shared" si="5"/>
        <v>out</v>
      </c>
      <c r="D69" t="str">
        <f t="shared" si="6"/>
        <v>Outubro</v>
      </c>
      <c r="E69" t="s">
        <v>6</v>
      </c>
      <c r="F69" t="s">
        <v>10</v>
      </c>
      <c r="G69" s="13" t="str">
        <f t="shared" si="7"/>
        <v/>
      </c>
      <c r="H69" t="s">
        <v>40</v>
      </c>
      <c r="I69" s="16">
        <v>20</v>
      </c>
    </row>
    <row r="70" spans="1:9">
      <c r="A70" s="15">
        <v>45957</v>
      </c>
      <c r="B70">
        <f t="shared" si="4"/>
        <v>2025</v>
      </c>
      <c r="C70" t="str">
        <f t="shared" si="5"/>
        <v>out</v>
      </c>
      <c r="D70" t="str">
        <f t="shared" si="6"/>
        <v>Outubro</v>
      </c>
      <c r="E70" t="s">
        <v>251</v>
      </c>
      <c r="F70" t="s">
        <v>224</v>
      </c>
      <c r="G70" s="13" t="str">
        <f t="shared" si="7"/>
        <v/>
      </c>
      <c r="H70" t="s">
        <v>241</v>
      </c>
      <c r="I70" s="16">
        <v>7.11</v>
      </c>
    </row>
    <row r="71" spans="1:9">
      <c r="A71" s="15">
        <v>45959</v>
      </c>
      <c r="B71">
        <f t="shared" si="4"/>
        <v>2025</v>
      </c>
      <c r="C71" t="str">
        <f t="shared" si="5"/>
        <v>out</v>
      </c>
      <c r="D71" t="str">
        <f t="shared" si="6"/>
        <v>Outubro</v>
      </c>
      <c r="E71" t="s">
        <v>5</v>
      </c>
      <c r="F71" t="s">
        <v>12</v>
      </c>
      <c r="G71" s="13" t="str">
        <f t="shared" si="7"/>
        <v>Outras Receitas</v>
      </c>
      <c r="H71" t="s">
        <v>246</v>
      </c>
      <c r="I71" s="16">
        <v>12</v>
      </c>
    </row>
    <row r="72" spans="1:9">
      <c r="A72" s="15">
        <v>45960</v>
      </c>
      <c r="B72">
        <f t="shared" si="4"/>
        <v>2025</v>
      </c>
      <c r="C72" t="str">
        <f t="shared" si="5"/>
        <v>out</v>
      </c>
      <c r="D72" t="str">
        <f t="shared" si="6"/>
        <v>Outubro</v>
      </c>
      <c r="E72" t="s">
        <v>5</v>
      </c>
      <c r="F72" t="s">
        <v>201</v>
      </c>
      <c r="G72" s="13" t="str">
        <f t="shared" si="7"/>
        <v>Salário</v>
      </c>
      <c r="H72" t="s">
        <v>7</v>
      </c>
      <c r="I72" s="16">
        <v>5162</v>
      </c>
    </row>
    <row r="73" spans="1:9">
      <c r="A73" s="15">
        <v>45960</v>
      </c>
      <c r="B73">
        <f t="shared" si="4"/>
        <v>2025</v>
      </c>
      <c r="C73" t="str">
        <f t="shared" si="5"/>
        <v>out</v>
      </c>
      <c r="D73" t="str">
        <f t="shared" si="6"/>
        <v>Outubro</v>
      </c>
      <c r="E73" t="s">
        <v>6</v>
      </c>
      <c r="F73" t="s">
        <v>204</v>
      </c>
      <c r="G73" s="13" t="str">
        <f t="shared" si="7"/>
        <v/>
      </c>
      <c r="H73" t="s">
        <v>214</v>
      </c>
      <c r="I73" s="16">
        <v>18.989999999999998</v>
      </c>
    </row>
    <row r="74" spans="1:9">
      <c r="A74" s="15">
        <v>45960</v>
      </c>
      <c r="B74">
        <f t="shared" si="4"/>
        <v>2025</v>
      </c>
      <c r="C74" t="str">
        <f t="shared" si="5"/>
        <v>out</v>
      </c>
      <c r="D74" t="str">
        <f t="shared" si="6"/>
        <v>Outubro</v>
      </c>
      <c r="E74" t="s">
        <v>251</v>
      </c>
      <c r="F74" t="s">
        <v>224</v>
      </c>
      <c r="G74" s="13" t="str">
        <f t="shared" si="7"/>
        <v/>
      </c>
      <c r="H74" t="s">
        <v>239</v>
      </c>
      <c r="I74" s="16">
        <v>252</v>
      </c>
    </row>
    <row r="75" spans="1:9">
      <c r="A75" s="15">
        <v>45961</v>
      </c>
      <c r="B75">
        <f t="shared" si="4"/>
        <v>2025</v>
      </c>
      <c r="C75" t="str">
        <f t="shared" si="5"/>
        <v>out</v>
      </c>
      <c r="D75" t="str">
        <f t="shared" si="6"/>
        <v>Outubro</v>
      </c>
      <c r="E75" t="s">
        <v>6</v>
      </c>
      <c r="F75" t="s">
        <v>12</v>
      </c>
      <c r="G75" s="13" t="str">
        <f t="shared" si="7"/>
        <v/>
      </c>
      <c r="H75" t="s">
        <v>244</v>
      </c>
      <c r="I75" s="16">
        <v>170</v>
      </c>
    </row>
    <row r="76" spans="1:9">
      <c r="A76" s="15">
        <v>45961</v>
      </c>
      <c r="B76">
        <f t="shared" si="4"/>
        <v>2025</v>
      </c>
      <c r="C76" t="str">
        <f t="shared" si="5"/>
        <v>out</v>
      </c>
      <c r="D76" t="str">
        <f t="shared" si="6"/>
        <v>Outubro</v>
      </c>
      <c r="E76" t="s">
        <v>6</v>
      </c>
      <c r="F76" t="s">
        <v>10</v>
      </c>
      <c r="G76" s="13" t="str">
        <f t="shared" si="7"/>
        <v/>
      </c>
      <c r="H76" t="s">
        <v>34</v>
      </c>
      <c r="I76" s="16">
        <v>85.96</v>
      </c>
    </row>
    <row r="77" spans="1:9">
      <c r="A77" s="15">
        <v>45961</v>
      </c>
      <c r="B77">
        <f t="shared" si="4"/>
        <v>2025</v>
      </c>
      <c r="C77" t="str">
        <f t="shared" si="5"/>
        <v>out</v>
      </c>
      <c r="D77" t="str">
        <f t="shared" si="6"/>
        <v>Outubro</v>
      </c>
      <c r="E77" t="s">
        <v>6</v>
      </c>
      <c r="F77" t="s">
        <v>204</v>
      </c>
      <c r="G77" s="13" t="str">
        <f t="shared" si="7"/>
        <v/>
      </c>
      <c r="H77" t="s">
        <v>22</v>
      </c>
      <c r="I77" s="16">
        <v>234.8</v>
      </c>
    </row>
    <row r="78" spans="1:9">
      <c r="A78" s="15">
        <v>45961</v>
      </c>
      <c r="B78">
        <f t="shared" si="4"/>
        <v>2025</v>
      </c>
      <c r="C78" t="str">
        <f t="shared" si="5"/>
        <v>out</v>
      </c>
      <c r="D78" t="str">
        <f t="shared" si="6"/>
        <v>Outubro</v>
      </c>
      <c r="E78" t="s">
        <v>5</v>
      </c>
      <c r="F78" t="s">
        <v>12</v>
      </c>
      <c r="G78" s="13" t="str">
        <f t="shared" si="7"/>
        <v>Outras Receitas</v>
      </c>
      <c r="H78" t="s">
        <v>246</v>
      </c>
      <c r="I78" s="16">
        <v>85</v>
      </c>
    </row>
    <row r="79" spans="1:9">
      <c r="A79" s="15">
        <v>45963</v>
      </c>
      <c r="B79">
        <f t="shared" si="4"/>
        <v>2025</v>
      </c>
      <c r="C79" t="str">
        <f t="shared" si="5"/>
        <v>nov</v>
      </c>
      <c r="D79" t="str">
        <f t="shared" si="6"/>
        <v>Novembro</v>
      </c>
      <c r="E79" t="s">
        <v>6</v>
      </c>
      <c r="F79" t="s">
        <v>12</v>
      </c>
      <c r="G79" s="13" t="str">
        <f t="shared" si="7"/>
        <v/>
      </c>
      <c r="H79" t="s">
        <v>210</v>
      </c>
      <c r="I79" s="16">
        <v>79.2</v>
      </c>
    </row>
    <row r="80" spans="1:9">
      <c r="A80" s="15">
        <v>45964</v>
      </c>
      <c r="B80">
        <f t="shared" si="4"/>
        <v>2025</v>
      </c>
      <c r="C80" t="str">
        <f t="shared" si="5"/>
        <v>nov</v>
      </c>
      <c r="D80" t="str">
        <f t="shared" si="6"/>
        <v>Novembro</v>
      </c>
      <c r="E80" t="s">
        <v>5</v>
      </c>
      <c r="F80" t="s">
        <v>12</v>
      </c>
      <c r="G80" s="13" t="str">
        <f t="shared" si="7"/>
        <v>Outras Receitas</v>
      </c>
      <c r="H80" t="s">
        <v>246</v>
      </c>
      <c r="I80" s="16">
        <v>176.1</v>
      </c>
    </row>
    <row r="81" spans="1:9">
      <c r="A81" s="15">
        <v>45964</v>
      </c>
      <c r="B81">
        <f t="shared" si="4"/>
        <v>2025</v>
      </c>
      <c r="C81" t="str">
        <f t="shared" si="5"/>
        <v>nov</v>
      </c>
      <c r="D81" t="str">
        <f t="shared" si="6"/>
        <v>Novembro</v>
      </c>
      <c r="E81" t="s">
        <v>6</v>
      </c>
      <c r="F81" t="s">
        <v>206</v>
      </c>
      <c r="G81" s="13" t="str">
        <f t="shared" si="7"/>
        <v/>
      </c>
      <c r="H81" t="s">
        <v>208</v>
      </c>
      <c r="I81" s="16">
        <v>80</v>
      </c>
    </row>
    <row r="82" spans="1:9">
      <c r="A82" s="15">
        <v>45966</v>
      </c>
      <c r="B82">
        <f t="shared" si="4"/>
        <v>2025</v>
      </c>
      <c r="C82" t="str">
        <f t="shared" si="5"/>
        <v>nov</v>
      </c>
      <c r="D82" t="str">
        <f t="shared" si="6"/>
        <v>Novembro</v>
      </c>
      <c r="E82" t="s">
        <v>6</v>
      </c>
      <c r="F82" t="s">
        <v>233</v>
      </c>
      <c r="G82" s="13" t="str">
        <f t="shared" si="7"/>
        <v/>
      </c>
      <c r="H82" t="s">
        <v>234</v>
      </c>
      <c r="I82" s="16">
        <v>114.64</v>
      </c>
    </row>
    <row r="83" spans="1:9">
      <c r="A83" s="15">
        <v>45966</v>
      </c>
      <c r="B83">
        <f t="shared" si="4"/>
        <v>2025</v>
      </c>
      <c r="C83" t="str">
        <f t="shared" si="5"/>
        <v>nov</v>
      </c>
      <c r="D83" t="str">
        <f t="shared" si="6"/>
        <v>Novembro</v>
      </c>
      <c r="E83" t="s">
        <v>6</v>
      </c>
      <c r="F83" t="s">
        <v>204</v>
      </c>
      <c r="G83" s="13" t="str">
        <f t="shared" si="7"/>
        <v/>
      </c>
      <c r="H83" t="s">
        <v>214</v>
      </c>
      <c r="I83" s="16">
        <v>12</v>
      </c>
    </row>
    <row r="84" spans="1:9">
      <c r="A84" s="15">
        <v>45967</v>
      </c>
      <c r="B84">
        <f t="shared" si="4"/>
        <v>2025</v>
      </c>
      <c r="C84" t="str">
        <f t="shared" si="5"/>
        <v>nov</v>
      </c>
      <c r="D84" t="str">
        <f t="shared" si="6"/>
        <v>Novembro</v>
      </c>
      <c r="E84" t="s">
        <v>6</v>
      </c>
      <c r="F84" t="s">
        <v>204</v>
      </c>
      <c r="G84" s="13" t="str">
        <f t="shared" si="7"/>
        <v/>
      </c>
      <c r="H84" t="s">
        <v>22</v>
      </c>
      <c r="I84" s="16">
        <v>65.45</v>
      </c>
    </row>
    <row r="85" spans="1:9">
      <c r="A85" s="15">
        <v>45968</v>
      </c>
      <c r="B85">
        <f t="shared" si="4"/>
        <v>2025</v>
      </c>
      <c r="C85" t="str">
        <f t="shared" si="5"/>
        <v>nov</v>
      </c>
      <c r="D85" t="str">
        <f t="shared" si="6"/>
        <v>Novembro</v>
      </c>
      <c r="E85" t="s">
        <v>6</v>
      </c>
      <c r="F85" t="s">
        <v>10</v>
      </c>
      <c r="G85" s="13" t="str">
        <f t="shared" si="7"/>
        <v/>
      </c>
      <c r="H85" t="s">
        <v>34</v>
      </c>
      <c r="I85" s="16">
        <v>51.96</v>
      </c>
    </row>
    <row r="86" spans="1:9">
      <c r="A86" s="15">
        <v>45969</v>
      </c>
      <c r="B86">
        <f t="shared" si="4"/>
        <v>2025</v>
      </c>
      <c r="C86" t="str">
        <f t="shared" si="5"/>
        <v>nov</v>
      </c>
      <c r="D86" t="str">
        <f t="shared" si="6"/>
        <v>Novembro</v>
      </c>
      <c r="E86" t="s">
        <v>6</v>
      </c>
      <c r="F86" t="s">
        <v>12</v>
      </c>
      <c r="G86" s="13" t="str">
        <f t="shared" si="7"/>
        <v/>
      </c>
      <c r="H86" t="s">
        <v>210</v>
      </c>
      <c r="I86" s="16">
        <v>481</v>
      </c>
    </row>
    <row r="87" spans="1:9">
      <c r="A87" s="15">
        <v>45970</v>
      </c>
      <c r="B87">
        <f t="shared" si="4"/>
        <v>2025</v>
      </c>
      <c r="C87" t="str">
        <f t="shared" si="5"/>
        <v>nov</v>
      </c>
      <c r="D87" t="str">
        <f t="shared" si="6"/>
        <v>Novembro</v>
      </c>
      <c r="E87" t="s">
        <v>6</v>
      </c>
      <c r="F87" t="s">
        <v>10</v>
      </c>
      <c r="G87" s="13" t="str">
        <f t="shared" si="7"/>
        <v/>
      </c>
      <c r="H87" t="s">
        <v>34</v>
      </c>
      <c r="I87" s="16">
        <v>25.13</v>
      </c>
    </row>
    <row r="88" spans="1:9">
      <c r="A88" s="15">
        <v>45971</v>
      </c>
      <c r="B88">
        <f t="shared" si="4"/>
        <v>2025</v>
      </c>
      <c r="C88" t="str">
        <f t="shared" si="5"/>
        <v>nov</v>
      </c>
      <c r="D88" t="str">
        <f t="shared" si="6"/>
        <v>Novembro</v>
      </c>
      <c r="E88" t="s">
        <v>251</v>
      </c>
      <c r="F88" t="s">
        <v>9</v>
      </c>
      <c r="G88" s="13" t="str">
        <f t="shared" si="7"/>
        <v/>
      </c>
      <c r="H88" t="s">
        <v>218</v>
      </c>
      <c r="I88" s="16">
        <v>1402.18</v>
      </c>
    </row>
    <row r="89" spans="1:9">
      <c r="A89" s="15">
        <v>45971</v>
      </c>
      <c r="B89">
        <f t="shared" si="4"/>
        <v>2025</v>
      </c>
      <c r="C89" t="str">
        <f t="shared" si="5"/>
        <v>nov</v>
      </c>
      <c r="D89" t="str">
        <f t="shared" si="6"/>
        <v>Novembro</v>
      </c>
      <c r="E89" t="s">
        <v>251</v>
      </c>
      <c r="F89" t="s">
        <v>9</v>
      </c>
      <c r="G89" s="13" t="str">
        <f t="shared" si="7"/>
        <v/>
      </c>
      <c r="H89" t="s">
        <v>218</v>
      </c>
      <c r="I89" s="16">
        <v>124.89</v>
      </c>
    </row>
    <row r="90" spans="1:9">
      <c r="A90" s="15">
        <v>45972</v>
      </c>
      <c r="B90">
        <f t="shared" si="4"/>
        <v>2025</v>
      </c>
      <c r="C90" t="str">
        <f t="shared" si="5"/>
        <v>nov</v>
      </c>
      <c r="D90" t="str">
        <f t="shared" si="6"/>
        <v>Novembro</v>
      </c>
      <c r="E90" t="s">
        <v>6</v>
      </c>
      <c r="F90" t="s">
        <v>12</v>
      </c>
      <c r="G90" s="13" t="str">
        <f t="shared" si="7"/>
        <v/>
      </c>
      <c r="H90" t="s">
        <v>247</v>
      </c>
      <c r="I90" s="16">
        <v>66.5</v>
      </c>
    </row>
    <row r="91" spans="1:9">
      <c r="A91" s="15">
        <v>45972</v>
      </c>
      <c r="B91">
        <f t="shared" si="4"/>
        <v>2025</v>
      </c>
      <c r="C91" t="str">
        <f t="shared" si="5"/>
        <v>nov</v>
      </c>
      <c r="D91" t="str">
        <f t="shared" si="6"/>
        <v>Novembro</v>
      </c>
      <c r="E91" t="s">
        <v>6</v>
      </c>
      <c r="F91" t="s">
        <v>12</v>
      </c>
      <c r="G91" s="13" t="str">
        <f t="shared" si="7"/>
        <v/>
      </c>
      <c r="H91" t="s">
        <v>247</v>
      </c>
      <c r="I91" s="16">
        <v>169.9</v>
      </c>
    </row>
    <row r="92" spans="1:9">
      <c r="A92" s="15">
        <v>45976</v>
      </c>
      <c r="B92">
        <f t="shared" si="4"/>
        <v>2025</v>
      </c>
      <c r="C92" t="str">
        <f t="shared" si="5"/>
        <v>nov</v>
      </c>
      <c r="D92" t="str">
        <f t="shared" si="6"/>
        <v>Novembro</v>
      </c>
      <c r="E92" t="s">
        <v>6</v>
      </c>
      <c r="F92" t="s">
        <v>12</v>
      </c>
      <c r="G92" s="13" t="str">
        <f t="shared" si="7"/>
        <v/>
      </c>
      <c r="H92" t="s">
        <v>246</v>
      </c>
      <c r="I92" s="16">
        <v>159.63</v>
      </c>
    </row>
    <row r="93" spans="1:9">
      <c r="A93" s="15">
        <v>45976</v>
      </c>
      <c r="B93">
        <f t="shared" si="4"/>
        <v>2025</v>
      </c>
      <c r="C93" t="str">
        <f t="shared" si="5"/>
        <v>nov</v>
      </c>
      <c r="D93" t="str">
        <f t="shared" si="6"/>
        <v>Novembro</v>
      </c>
      <c r="E93" t="s">
        <v>6</v>
      </c>
      <c r="F93" t="s">
        <v>12</v>
      </c>
      <c r="G93" s="13" t="str">
        <f t="shared" si="7"/>
        <v/>
      </c>
      <c r="H93" t="s">
        <v>244</v>
      </c>
      <c r="I93" s="16">
        <v>110</v>
      </c>
    </row>
    <row r="94" spans="1:9">
      <c r="A94" s="15">
        <v>45976</v>
      </c>
      <c r="B94">
        <f t="shared" si="4"/>
        <v>2025</v>
      </c>
      <c r="C94" t="str">
        <f t="shared" si="5"/>
        <v>nov</v>
      </c>
      <c r="D94" t="str">
        <f t="shared" si="6"/>
        <v>Novembro</v>
      </c>
      <c r="E94" t="s">
        <v>6</v>
      </c>
      <c r="F94" t="s">
        <v>204</v>
      </c>
      <c r="G94" s="13" t="str">
        <f t="shared" si="7"/>
        <v/>
      </c>
      <c r="H94" t="s">
        <v>22</v>
      </c>
      <c r="I94" s="16">
        <v>209.4</v>
      </c>
    </row>
    <row r="95" spans="1:9">
      <c r="A95" s="15">
        <v>45976</v>
      </c>
      <c r="B95">
        <f t="shared" si="4"/>
        <v>2025</v>
      </c>
      <c r="C95" t="str">
        <f t="shared" si="5"/>
        <v>nov</v>
      </c>
      <c r="D95" t="str">
        <f t="shared" si="6"/>
        <v>Novembro</v>
      </c>
      <c r="E95" t="s">
        <v>6</v>
      </c>
      <c r="F95" t="s">
        <v>238</v>
      </c>
      <c r="G95" s="13" t="str">
        <f t="shared" si="7"/>
        <v/>
      </c>
      <c r="H95" t="s">
        <v>19</v>
      </c>
      <c r="I95" s="16">
        <v>126.01</v>
      </c>
    </row>
    <row r="96" spans="1:9">
      <c r="A96" s="15">
        <v>45976</v>
      </c>
      <c r="B96">
        <f t="shared" si="4"/>
        <v>2025</v>
      </c>
      <c r="C96" t="str">
        <f t="shared" si="5"/>
        <v>nov</v>
      </c>
      <c r="D96" t="str">
        <f t="shared" si="6"/>
        <v>Novembro</v>
      </c>
      <c r="E96" t="s">
        <v>6</v>
      </c>
      <c r="F96" t="s">
        <v>219</v>
      </c>
      <c r="G96" s="13" t="str">
        <f t="shared" si="7"/>
        <v/>
      </c>
      <c r="H96" t="s">
        <v>220</v>
      </c>
      <c r="I96" s="16">
        <v>9.99</v>
      </c>
    </row>
    <row r="97" spans="1:9">
      <c r="A97" s="15">
        <v>45976</v>
      </c>
      <c r="B97">
        <f t="shared" si="4"/>
        <v>2025</v>
      </c>
      <c r="C97" t="str">
        <f t="shared" si="5"/>
        <v>nov</v>
      </c>
      <c r="D97" t="str">
        <f t="shared" si="6"/>
        <v>Novembro</v>
      </c>
      <c r="E97" t="s">
        <v>6</v>
      </c>
      <c r="F97" t="s">
        <v>238</v>
      </c>
      <c r="G97" s="13" t="str">
        <f t="shared" si="7"/>
        <v/>
      </c>
      <c r="H97" t="s">
        <v>19</v>
      </c>
      <c r="I97" s="16">
        <v>296.58</v>
      </c>
    </row>
    <row r="98" spans="1:9">
      <c r="A98" s="15">
        <v>45978</v>
      </c>
      <c r="B98">
        <f t="shared" si="4"/>
        <v>2025</v>
      </c>
      <c r="C98" t="str">
        <f t="shared" si="5"/>
        <v>nov</v>
      </c>
      <c r="D98" t="str">
        <f t="shared" si="6"/>
        <v>Novembro</v>
      </c>
      <c r="E98" t="s">
        <v>5</v>
      </c>
      <c r="F98" t="s">
        <v>12</v>
      </c>
      <c r="G98" s="13" t="str">
        <f t="shared" si="7"/>
        <v>Outras Receitas</v>
      </c>
      <c r="H98" t="s">
        <v>246</v>
      </c>
      <c r="I98" s="16">
        <v>42</v>
      </c>
    </row>
    <row r="99" spans="1:9">
      <c r="A99" s="15">
        <v>45980</v>
      </c>
      <c r="B99">
        <f t="shared" si="4"/>
        <v>2025</v>
      </c>
      <c r="C99" t="str">
        <f t="shared" si="5"/>
        <v>nov</v>
      </c>
      <c r="D99" t="str">
        <f t="shared" si="6"/>
        <v>Novembro</v>
      </c>
      <c r="E99" t="s">
        <v>6</v>
      </c>
      <c r="F99" t="s">
        <v>204</v>
      </c>
      <c r="G99" s="13" t="str">
        <f t="shared" si="7"/>
        <v/>
      </c>
      <c r="H99" t="s">
        <v>22</v>
      </c>
      <c r="I99" s="16">
        <v>221.74</v>
      </c>
    </row>
    <row r="100" spans="1:9">
      <c r="A100" s="15">
        <v>45980</v>
      </c>
      <c r="B100">
        <f t="shared" si="4"/>
        <v>2025</v>
      </c>
      <c r="C100" t="str">
        <f t="shared" si="5"/>
        <v>nov</v>
      </c>
      <c r="D100" t="str">
        <f t="shared" si="6"/>
        <v>Novembro</v>
      </c>
      <c r="E100" t="s">
        <v>6</v>
      </c>
      <c r="F100" t="s">
        <v>204</v>
      </c>
      <c r="G100" s="13" t="str">
        <f t="shared" si="7"/>
        <v/>
      </c>
      <c r="H100" t="s">
        <v>22</v>
      </c>
      <c r="I100" s="16">
        <v>511.64</v>
      </c>
    </row>
    <row r="101" spans="1:9">
      <c r="A101" s="15">
        <v>45983</v>
      </c>
      <c r="B101">
        <f t="shared" si="4"/>
        <v>2025</v>
      </c>
      <c r="C101" t="str">
        <f t="shared" si="5"/>
        <v>nov</v>
      </c>
      <c r="D101" t="str">
        <f t="shared" si="6"/>
        <v>Novembro</v>
      </c>
      <c r="E101" t="s">
        <v>6</v>
      </c>
      <c r="F101" t="s">
        <v>12</v>
      </c>
      <c r="G101" s="13" t="str">
        <f t="shared" si="7"/>
        <v/>
      </c>
      <c r="H101" t="s">
        <v>246</v>
      </c>
      <c r="I101" s="16">
        <v>50</v>
      </c>
    </row>
    <row r="102" spans="1:9">
      <c r="A102" s="15">
        <v>45983</v>
      </c>
      <c r="B102">
        <f t="shared" si="4"/>
        <v>2025</v>
      </c>
      <c r="C102" t="str">
        <f t="shared" si="5"/>
        <v>nov</v>
      </c>
      <c r="D102" t="str">
        <f t="shared" si="6"/>
        <v>Novembro</v>
      </c>
      <c r="E102" t="s">
        <v>6</v>
      </c>
      <c r="F102" t="s">
        <v>12</v>
      </c>
      <c r="G102" s="13" t="str">
        <f t="shared" si="7"/>
        <v/>
      </c>
      <c r="H102" t="s">
        <v>246</v>
      </c>
      <c r="I102" s="16">
        <v>40</v>
      </c>
    </row>
    <row r="103" spans="1:9">
      <c r="A103" s="15">
        <v>45985</v>
      </c>
      <c r="B103">
        <f t="shared" si="4"/>
        <v>2025</v>
      </c>
      <c r="C103" t="str">
        <f t="shared" si="5"/>
        <v>nov</v>
      </c>
      <c r="D103" t="str">
        <f t="shared" si="6"/>
        <v>Novembro</v>
      </c>
      <c r="E103" t="s">
        <v>5</v>
      </c>
      <c r="F103" t="s">
        <v>12</v>
      </c>
      <c r="G103" s="13" t="str">
        <f t="shared" si="7"/>
        <v>Outras Receitas</v>
      </c>
      <c r="H103" t="s">
        <v>246</v>
      </c>
      <c r="I103" s="16">
        <v>425.04</v>
      </c>
    </row>
    <row r="104" spans="1:9">
      <c r="A104" s="15">
        <v>45986</v>
      </c>
      <c r="B104">
        <f t="shared" si="4"/>
        <v>2025</v>
      </c>
      <c r="C104" t="str">
        <f t="shared" si="5"/>
        <v>nov</v>
      </c>
      <c r="D104" t="str">
        <f t="shared" si="6"/>
        <v>Novembro</v>
      </c>
      <c r="E104" t="s">
        <v>6</v>
      </c>
      <c r="F104" t="s">
        <v>222</v>
      </c>
      <c r="G104" s="13" t="str">
        <f t="shared" si="7"/>
        <v/>
      </c>
      <c r="H104" t="s">
        <v>215</v>
      </c>
      <c r="I104" s="16">
        <v>90</v>
      </c>
    </row>
    <row r="105" spans="1:9">
      <c r="A105" s="15">
        <v>45987</v>
      </c>
      <c r="B105">
        <f t="shared" si="4"/>
        <v>2025</v>
      </c>
      <c r="C105" t="str">
        <f t="shared" si="5"/>
        <v>nov</v>
      </c>
      <c r="D105" t="str">
        <f t="shared" si="6"/>
        <v>Novembro</v>
      </c>
      <c r="E105" t="s">
        <v>6</v>
      </c>
      <c r="F105" t="s">
        <v>12</v>
      </c>
      <c r="G105" s="13" t="str">
        <f t="shared" si="7"/>
        <v/>
      </c>
      <c r="H105" t="s">
        <v>246</v>
      </c>
      <c r="I105" s="16">
        <v>420</v>
      </c>
    </row>
    <row r="106" spans="1:9">
      <c r="A106" s="15">
        <v>45987</v>
      </c>
      <c r="B106">
        <f t="shared" si="4"/>
        <v>2025</v>
      </c>
      <c r="C106" t="str">
        <f t="shared" si="5"/>
        <v>nov</v>
      </c>
      <c r="D106" t="str">
        <f t="shared" si="6"/>
        <v>Novembro</v>
      </c>
      <c r="E106" t="s">
        <v>6</v>
      </c>
      <c r="F106" t="s">
        <v>12</v>
      </c>
      <c r="G106" s="13" t="str">
        <f t="shared" si="7"/>
        <v/>
      </c>
      <c r="H106" t="s">
        <v>246</v>
      </c>
      <c r="I106" s="16">
        <v>5</v>
      </c>
    </row>
    <row r="107" spans="1:9">
      <c r="A107" s="15">
        <v>45988</v>
      </c>
      <c r="B107">
        <f t="shared" si="4"/>
        <v>2025</v>
      </c>
      <c r="C107" t="str">
        <f t="shared" si="5"/>
        <v>nov</v>
      </c>
      <c r="D107" t="str">
        <f t="shared" si="6"/>
        <v>Novembro</v>
      </c>
      <c r="E107" t="s">
        <v>5</v>
      </c>
      <c r="F107" t="s">
        <v>201</v>
      </c>
      <c r="G107" s="13" t="str">
        <f t="shared" si="7"/>
        <v>Salário</v>
      </c>
      <c r="H107" t="s">
        <v>7</v>
      </c>
      <c r="I107" s="16">
        <v>5262.43</v>
      </c>
    </row>
    <row r="108" spans="1:9">
      <c r="A108" s="15">
        <v>45988</v>
      </c>
      <c r="B108">
        <f t="shared" si="4"/>
        <v>2025</v>
      </c>
      <c r="C108" t="str">
        <f t="shared" si="5"/>
        <v>nov</v>
      </c>
      <c r="D108" t="str">
        <f t="shared" si="6"/>
        <v>Novembro</v>
      </c>
      <c r="E108" t="s">
        <v>5</v>
      </c>
      <c r="F108" t="s">
        <v>201</v>
      </c>
      <c r="G108" s="13" t="str">
        <f t="shared" si="7"/>
        <v>Outras Receitas</v>
      </c>
      <c r="H108" t="s">
        <v>249</v>
      </c>
      <c r="I108" s="16">
        <v>1312.51</v>
      </c>
    </row>
    <row r="109" spans="1:9">
      <c r="A109" s="15">
        <v>45988</v>
      </c>
      <c r="B109">
        <f t="shared" si="4"/>
        <v>2025</v>
      </c>
      <c r="C109" t="str">
        <f t="shared" si="5"/>
        <v>nov</v>
      </c>
      <c r="D109" t="str">
        <f t="shared" si="6"/>
        <v>Novembro</v>
      </c>
      <c r="E109" t="s">
        <v>251</v>
      </c>
      <c r="F109" t="s">
        <v>224</v>
      </c>
      <c r="G109" s="13" t="str">
        <f t="shared" si="7"/>
        <v/>
      </c>
      <c r="H109" t="s">
        <v>239</v>
      </c>
      <c r="I109" s="16">
        <v>252</v>
      </c>
    </row>
    <row r="110" spans="1:9">
      <c r="A110" s="15">
        <v>45989</v>
      </c>
      <c r="B110">
        <f t="shared" si="4"/>
        <v>2025</v>
      </c>
      <c r="C110" t="str">
        <f t="shared" si="5"/>
        <v>nov</v>
      </c>
      <c r="D110" t="str">
        <f t="shared" si="6"/>
        <v>Novembro</v>
      </c>
      <c r="E110" t="s">
        <v>5</v>
      </c>
      <c r="F110" t="s">
        <v>224</v>
      </c>
      <c r="G110" s="13" t="str">
        <f t="shared" si="7"/>
        <v>Outras Receitas</v>
      </c>
      <c r="H110" t="s">
        <v>241</v>
      </c>
      <c r="I110" s="16">
        <v>8.99</v>
      </c>
    </row>
    <row r="111" spans="1:9">
      <c r="A111" s="15">
        <v>45989</v>
      </c>
      <c r="B111">
        <f t="shared" si="4"/>
        <v>2025</v>
      </c>
      <c r="C111" t="str">
        <f t="shared" si="5"/>
        <v>nov</v>
      </c>
      <c r="D111" t="str">
        <f t="shared" si="6"/>
        <v>Novembro</v>
      </c>
      <c r="E111" t="s">
        <v>6</v>
      </c>
      <c r="F111" t="s">
        <v>233</v>
      </c>
      <c r="G111" s="13" t="str">
        <f t="shared" si="7"/>
        <v/>
      </c>
      <c r="H111" t="s">
        <v>234</v>
      </c>
      <c r="I111" s="16">
        <v>244.68</v>
      </c>
    </row>
    <row r="112" spans="1:9">
      <c r="A112" s="15">
        <v>45989</v>
      </c>
      <c r="B112">
        <f t="shared" si="4"/>
        <v>2025</v>
      </c>
      <c r="C112" t="str">
        <f t="shared" si="5"/>
        <v>nov</v>
      </c>
      <c r="D112" t="str">
        <f t="shared" si="6"/>
        <v>Novembro</v>
      </c>
      <c r="E112" t="s">
        <v>6</v>
      </c>
      <c r="F112" t="s">
        <v>10</v>
      </c>
      <c r="G112" s="13" t="str">
        <f t="shared" si="7"/>
        <v/>
      </c>
      <c r="H112" t="s">
        <v>34</v>
      </c>
      <c r="I112" s="16">
        <v>70.95</v>
      </c>
    </row>
    <row r="113" spans="1:9">
      <c r="A113" s="15">
        <v>45990</v>
      </c>
      <c r="B113">
        <f t="shared" si="4"/>
        <v>2025</v>
      </c>
      <c r="C113" t="str">
        <f t="shared" si="5"/>
        <v>nov</v>
      </c>
      <c r="D113" t="str">
        <f t="shared" si="6"/>
        <v>Novembro</v>
      </c>
      <c r="E113" t="s">
        <v>6</v>
      </c>
      <c r="F113" t="s">
        <v>10</v>
      </c>
      <c r="G113" s="13" t="str">
        <f t="shared" si="7"/>
        <v/>
      </c>
      <c r="H113" t="s">
        <v>27</v>
      </c>
      <c r="I113" s="16">
        <v>59</v>
      </c>
    </row>
    <row r="114" spans="1:9">
      <c r="A114" s="15">
        <v>45990</v>
      </c>
      <c r="B114">
        <f t="shared" si="4"/>
        <v>2025</v>
      </c>
      <c r="C114" t="str">
        <f t="shared" si="5"/>
        <v>nov</v>
      </c>
      <c r="D114" t="str">
        <f t="shared" si="6"/>
        <v>Novembro</v>
      </c>
      <c r="E114" t="s">
        <v>6</v>
      </c>
      <c r="F114" t="s">
        <v>11</v>
      </c>
      <c r="G114" s="13" t="str">
        <f t="shared" si="7"/>
        <v/>
      </c>
      <c r="H114" t="s">
        <v>223</v>
      </c>
      <c r="I114" s="16">
        <v>26.4</v>
      </c>
    </row>
    <row r="115" spans="1:9">
      <c r="A115" s="15">
        <v>45990</v>
      </c>
      <c r="B115">
        <f t="shared" si="4"/>
        <v>2025</v>
      </c>
      <c r="C115" t="str">
        <f t="shared" si="5"/>
        <v>nov</v>
      </c>
      <c r="D115" t="str">
        <f t="shared" si="6"/>
        <v>Novembro</v>
      </c>
      <c r="E115" t="s">
        <v>6</v>
      </c>
      <c r="F115" t="s">
        <v>10</v>
      </c>
      <c r="G115" s="13" t="str">
        <f t="shared" si="7"/>
        <v/>
      </c>
      <c r="H115" t="s">
        <v>27</v>
      </c>
      <c r="I115" s="16">
        <v>253.03</v>
      </c>
    </row>
    <row r="116" spans="1:9">
      <c r="A116" s="15">
        <v>45990</v>
      </c>
      <c r="B116">
        <f t="shared" si="4"/>
        <v>2025</v>
      </c>
      <c r="C116" t="str">
        <f t="shared" si="5"/>
        <v>nov</v>
      </c>
      <c r="D116" t="str">
        <f t="shared" si="6"/>
        <v>Novembro</v>
      </c>
      <c r="E116" t="s">
        <v>6</v>
      </c>
      <c r="F116" t="s">
        <v>10</v>
      </c>
      <c r="G116" s="13" t="str">
        <f t="shared" si="7"/>
        <v/>
      </c>
      <c r="H116" t="s">
        <v>34</v>
      </c>
      <c r="I116" s="16">
        <v>102.99</v>
      </c>
    </row>
    <row r="117" spans="1:9">
      <c r="A117" s="15">
        <v>45990</v>
      </c>
      <c r="B117">
        <f t="shared" si="4"/>
        <v>2025</v>
      </c>
      <c r="C117" t="str">
        <f t="shared" si="5"/>
        <v>nov</v>
      </c>
      <c r="D117" t="str">
        <f t="shared" si="6"/>
        <v>Novembro</v>
      </c>
      <c r="E117" t="s">
        <v>6</v>
      </c>
      <c r="F117" t="s">
        <v>12</v>
      </c>
      <c r="G117" s="13" t="str">
        <f t="shared" si="7"/>
        <v/>
      </c>
      <c r="H117" t="s">
        <v>210</v>
      </c>
      <c r="I117" s="16">
        <v>55</v>
      </c>
    </row>
    <row r="118" spans="1:9">
      <c r="A118" s="15">
        <v>45992</v>
      </c>
      <c r="B118">
        <f t="shared" si="4"/>
        <v>2025</v>
      </c>
      <c r="C118" t="str">
        <f t="shared" si="5"/>
        <v>dez</v>
      </c>
      <c r="D118" t="str">
        <f t="shared" si="6"/>
        <v>Dezembro</v>
      </c>
      <c r="E118" t="s">
        <v>5</v>
      </c>
      <c r="F118" t="s">
        <v>12</v>
      </c>
      <c r="G118" s="13" t="str">
        <f t="shared" si="7"/>
        <v>Outras Receitas</v>
      </c>
      <c r="H118" t="s">
        <v>246</v>
      </c>
      <c r="I118" s="16">
        <v>51</v>
      </c>
    </row>
    <row r="119" spans="1:9">
      <c r="A119" s="15">
        <v>45992</v>
      </c>
      <c r="B119">
        <f t="shared" si="4"/>
        <v>2025</v>
      </c>
      <c r="C119" t="str">
        <f t="shared" si="5"/>
        <v>dez</v>
      </c>
      <c r="D119" t="str">
        <f t="shared" si="6"/>
        <v>Dezembro</v>
      </c>
      <c r="E119" t="s">
        <v>5</v>
      </c>
      <c r="F119" t="s">
        <v>12</v>
      </c>
      <c r="G119" s="13" t="str">
        <f t="shared" si="7"/>
        <v>Outras Receitas</v>
      </c>
      <c r="H119" t="s">
        <v>246</v>
      </c>
      <c r="I119" s="16">
        <v>12</v>
      </c>
    </row>
    <row r="120" spans="1:9">
      <c r="A120" s="15">
        <v>45992</v>
      </c>
      <c r="B120">
        <f t="shared" si="4"/>
        <v>2025</v>
      </c>
      <c r="C120" t="str">
        <f t="shared" si="5"/>
        <v>dez</v>
      </c>
      <c r="D120" t="str">
        <f t="shared" si="6"/>
        <v>Dezembro</v>
      </c>
      <c r="E120" t="s">
        <v>251</v>
      </c>
      <c r="F120" t="s">
        <v>224</v>
      </c>
      <c r="G120" s="13" t="str">
        <f t="shared" si="7"/>
        <v/>
      </c>
      <c r="H120" t="s">
        <v>241</v>
      </c>
      <c r="I120" s="16">
        <v>3500</v>
      </c>
    </row>
    <row r="121" spans="1:9">
      <c r="A121" s="15">
        <v>45992</v>
      </c>
      <c r="B121">
        <f t="shared" si="4"/>
        <v>2025</v>
      </c>
      <c r="C121" t="str">
        <f t="shared" si="5"/>
        <v>dez</v>
      </c>
      <c r="D121" t="str">
        <f t="shared" si="6"/>
        <v>Dezembro</v>
      </c>
      <c r="E121" t="s">
        <v>251</v>
      </c>
      <c r="F121" t="s">
        <v>224</v>
      </c>
      <c r="G121" s="13" t="str">
        <f t="shared" si="7"/>
        <v/>
      </c>
      <c r="H121" t="s">
        <v>243</v>
      </c>
      <c r="I121" s="16">
        <v>752.82</v>
      </c>
    </row>
    <row r="122" spans="1:9">
      <c r="A122" s="15">
        <v>45992</v>
      </c>
      <c r="B122">
        <f t="shared" si="4"/>
        <v>2025</v>
      </c>
      <c r="C122" t="str">
        <f t="shared" si="5"/>
        <v>dez</v>
      </c>
      <c r="D122" t="str">
        <f t="shared" si="6"/>
        <v>Dezembro</v>
      </c>
      <c r="E122" t="s">
        <v>251</v>
      </c>
      <c r="F122" t="s">
        <v>224</v>
      </c>
      <c r="G122" s="13" t="str">
        <f t="shared" si="7"/>
        <v/>
      </c>
      <c r="H122" t="s">
        <v>243</v>
      </c>
      <c r="I122" s="16">
        <v>711.54</v>
      </c>
    </row>
    <row r="123" spans="1:9">
      <c r="A123" s="15">
        <v>45992</v>
      </c>
      <c r="B123">
        <f t="shared" si="4"/>
        <v>2025</v>
      </c>
      <c r="C123" t="str">
        <f t="shared" si="5"/>
        <v>dez</v>
      </c>
      <c r="D123" t="str">
        <f t="shared" si="6"/>
        <v>Dezembro</v>
      </c>
      <c r="E123" t="s">
        <v>6</v>
      </c>
      <c r="F123" t="s">
        <v>206</v>
      </c>
      <c r="G123" s="13" t="str">
        <f t="shared" si="7"/>
        <v/>
      </c>
      <c r="H123" t="s">
        <v>209</v>
      </c>
      <c r="I123" s="16">
        <v>147</v>
      </c>
    </row>
    <row r="124" spans="1:9">
      <c r="A124" s="15">
        <v>45992</v>
      </c>
      <c r="B124">
        <f t="shared" si="4"/>
        <v>2025</v>
      </c>
      <c r="C124" t="str">
        <f t="shared" si="5"/>
        <v>dez</v>
      </c>
      <c r="D124" t="str">
        <f t="shared" si="6"/>
        <v>Dezembro</v>
      </c>
      <c r="E124" t="s">
        <v>6</v>
      </c>
      <c r="F124" t="s">
        <v>12</v>
      </c>
      <c r="G124" s="13" t="str">
        <f t="shared" si="7"/>
        <v/>
      </c>
      <c r="H124" t="s">
        <v>228</v>
      </c>
      <c r="I124" s="16">
        <v>20</v>
      </c>
    </row>
    <row r="125" spans="1:9">
      <c r="A125" s="15">
        <v>45994</v>
      </c>
      <c r="B125">
        <f t="shared" si="4"/>
        <v>2025</v>
      </c>
      <c r="C125" t="str">
        <f t="shared" si="5"/>
        <v>dez</v>
      </c>
      <c r="D125" t="str">
        <f t="shared" si="6"/>
        <v>Dezembro</v>
      </c>
      <c r="E125" t="s">
        <v>6</v>
      </c>
      <c r="F125" t="s">
        <v>206</v>
      </c>
      <c r="G125" s="13" t="str">
        <f t="shared" si="7"/>
        <v/>
      </c>
      <c r="H125" t="s">
        <v>208</v>
      </c>
      <c r="I125" s="16">
        <v>80</v>
      </c>
    </row>
    <row r="126" spans="1:9">
      <c r="A126" s="15">
        <v>45994</v>
      </c>
      <c r="B126">
        <f t="shared" si="4"/>
        <v>2025</v>
      </c>
      <c r="C126" t="str">
        <f t="shared" si="5"/>
        <v>dez</v>
      </c>
      <c r="D126" t="str">
        <f t="shared" si="6"/>
        <v>Dezembro</v>
      </c>
      <c r="E126" t="s">
        <v>251</v>
      </c>
      <c r="F126" t="s">
        <v>224</v>
      </c>
      <c r="G126" s="13" t="str">
        <f t="shared" si="7"/>
        <v/>
      </c>
      <c r="H126" t="s">
        <v>243</v>
      </c>
      <c r="I126" s="16">
        <v>1464.32</v>
      </c>
    </row>
    <row r="127" spans="1:9">
      <c r="A127" s="15">
        <v>45995</v>
      </c>
      <c r="B127">
        <f t="shared" si="4"/>
        <v>2025</v>
      </c>
      <c r="C127" t="str">
        <f t="shared" si="5"/>
        <v>dez</v>
      </c>
      <c r="D127" t="str">
        <f t="shared" si="6"/>
        <v>Dezembro</v>
      </c>
      <c r="E127" t="s">
        <v>6</v>
      </c>
      <c r="F127" t="s">
        <v>204</v>
      </c>
      <c r="G127" s="13" t="str">
        <f t="shared" si="7"/>
        <v/>
      </c>
      <c r="H127" t="s">
        <v>214</v>
      </c>
      <c r="I127" s="16">
        <v>28.98</v>
      </c>
    </row>
    <row r="128" spans="1:9">
      <c r="A128" s="15">
        <v>45996</v>
      </c>
      <c r="B128">
        <f t="shared" ref="B128:B187" si="8">YEAR(A128)</f>
        <v>2025</v>
      </c>
      <c r="C128" t="str">
        <f t="shared" ref="C128:C187" si="9">TEXT(A128,"mmm")</f>
        <v>dez</v>
      </c>
      <c r="D128" t="str">
        <f t="shared" ref="D128:D187" si="10">PROPER(TEXT(A128,"Mmmm"))</f>
        <v>Dezembro</v>
      </c>
      <c r="E128" t="s">
        <v>6</v>
      </c>
      <c r="F128" t="s">
        <v>12</v>
      </c>
      <c r="G128" s="13" t="str">
        <f t="shared" si="7"/>
        <v/>
      </c>
      <c r="H128" t="s">
        <v>247</v>
      </c>
      <c r="I128" s="16">
        <v>126.89</v>
      </c>
    </row>
    <row r="129" spans="1:9">
      <c r="A129" s="15">
        <v>45997</v>
      </c>
      <c r="B129">
        <f t="shared" si="8"/>
        <v>2025</v>
      </c>
      <c r="C129" t="str">
        <f t="shared" si="9"/>
        <v>dez</v>
      </c>
      <c r="D129" t="str">
        <f t="shared" si="10"/>
        <v>Dezembro</v>
      </c>
      <c r="E129" t="s">
        <v>6</v>
      </c>
      <c r="F129" t="s">
        <v>10</v>
      </c>
      <c r="G129" s="13" t="str">
        <f t="shared" si="7"/>
        <v/>
      </c>
      <c r="H129" t="s">
        <v>34</v>
      </c>
      <c r="I129" s="16">
        <v>26.51</v>
      </c>
    </row>
    <row r="130" spans="1:9">
      <c r="A130" s="15">
        <v>45997</v>
      </c>
      <c r="B130">
        <f t="shared" si="8"/>
        <v>2025</v>
      </c>
      <c r="C130" t="str">
        <f t="shared" si="9"/>
        <v>dez</v>
      </c>
      <c r="D130" t="str">
        <f t="shared" si="10"/>
        <v>Dezembro</v>
      </c>
      <c r="E130" t="s">
        <v>6</v>
      </c>
      <c r="F130" t="s">
        <v>10</v>
      </c>
      <c r="G130" s="13" t="str">
        <f t="shared" si="7"/>
        <v/>
      </c>
      <c r="H130" t="s">
        <v>34</v>
      </c>
      <c r="I130" s="16">
        <v>112.06</v>
      </c>
    </row>
    <row r="131" spans="1:9">
      <c r="A131" s="15">
        <v>45997</v>
      </c>
      <c r="B131">
        <f t="shared" si="8"/>
        <v>2025</v>
      </c>
      <c r="C131" t="str">
        <f t="shared" si="9"/>
        <v>dez</v>
      </c>
      <c r="D131" t="str">
        <f t="shared" si="10"/>
        <v>Dezembro</v>
      </c>
      <c r="E131" t="s">
        <v>6</v>
      </c>
      <c r="F131" t="s">
        <v>10</v>
      </c>
      <c r="G131" s="13" t="str">
        <f t="shared" ref="G131:G194" si="11">IF(E131="Receita",IF(H131="Salário","Salário","Outras Receitas"),"")</f>
        <v/>
      </c>
      <c r="H131" t="s">
        <v>34</v>
      </c>
      <c r="I131" s="16">
        <v>40.950000000000003</v>
      </c>
    </row>
    <row r="132" spans="1:9">
      <c r="A132" s="15">
        <v>45997</v>
      </c>
      <c r="B132">
        <f t="shared" si="8"/>
        <v>2025</v>
      </c>
      <c r="C132" t="str">
        <f t="shared" si="9"/>
        <v>dez</v>
      </c>
      <c r="D132" t="str">
        <f t="shared" si="10"/>
        <v>Dezembro</v>
      </c>
      <c r="E132" t="s">
        <v>6</v>
      </c>
      <c r="F132" t="s">
        <v>204</v>
      </c>
      <c r="G132" s="13" t="str">
        <f t="shared" si="11"/>
        <v/>
      </c>
      <c r="H132" t="s">
        <v>22</v>
      </c>
      <c r="I132" s="16">
        <v>322.32</v>
      </c>
    </row>
    <row r="133" spans="1:9">
      <c r="A133" s="15">
        <v>45997</v>
      </c>
      <c r="B133">
        <f t="shared" si="8"/>
        <v>2025</v>
      </c>
      <c r="C133" t="str">
        <f t="shared" si="9"/>
        <v>dez</v>
      </c>
      <c r="D133" t="str">
        <f t="shared" si="10"/>
        <v>Dezembro</v>
      </c>
      <c r="E133" t="s">
        <v>6</v>
      </c>
      <c r="F133" t="s">
        <v>12</v>
      </c>
      <c r="G133" s="13" t="str">
        <f t="shared" si="11"/>
        <v/>
      </c>
      <c r="H133" t="s">
        <v>211</v>
      </c>
      <c r="I133" s="16">
        <v>45.2</v>
      </c>
    </row>
    <row r="134" spans="1:9">
      <c r="A134" s="15">
        <v>45998</v>
      </c>
      <c r="B134">
        <f t="shared" si="8"/>
        <v>2025</v>
      </c>
      <c r="C134" t="str">
        <f t="shared" si="9"/>
        <v>dez</v>
      </c>
      <c r="D134" t="str">
        <f t="shared" si="10"/>
        <v>Dezembro</v>
      </c>
      <c r="E134" t="s">
        <v>6</v>
      </c>
      <c r="F134" t="s">
        <v>10</v>
      </c>
      <c r="G134" s="13" t="str">
        <f t="shared" si="11"/>
        <v/>
      </c>
      <c r="H134" t="s">
        <v>34</v>
      </c>
      <c r="I134" s="16">
        <v>46.07</v>
      </c>
    </row>
    <row r="135" spans="1:9">
      <c r="A135" s="15">
        <v>45998</v>
      </c>
      <c r="B135">
        <f t="shared" si="8"/>
        <v>2025</v>
      </c>
      <c r="C135" t="str">
        <f t="shared" si="9"/>
        <v>dez</v>
      </c>
      <c r="D135" t="str">
        <f t="shared" si="10"/>
        <v>Dezembro</v>
      </c>
      <c r="E135" t="s">
        <v>6</v>
      </c>
      <c r="F135" t="s">
        <v>204</v>
      </c>
      <c r="G135" s="13" t="str">
        <f t="shared" si="11"/>
        <v/>
      </c>
      <c r="H135" t="s">
        <v>205</v>
      </c>
      <c r="I135" s="16">
        <v>169.28</v>
      </c>
    </row>
    <row r="136" spans="1:9">
      <c r="A136" s="15">
        <v>45999</v>
      </c>
      <c r="B136">
        <f t="shared" si="8"/>
        <v>2025</v>
      </c>
      <c r="C136" t="str">
        <f t="shared" si="9"/>
        <v>dez</v>
      </c>
      <c r="D136" t="str">
        <f t="shared" si="10"/>
        <v>Dezembro</v>
      </c>
      <c r="E136" t="s">
        <v>5</v>
      </c>
      <c r="F136" t="s">
        <v>12</v>
      </c>
      <c r="G136" s="13" t="str">
        <f t="shared" si="11"/>
        <v>Outras Receitas</v>
      </c>
      <c r="H136" t="s">
        <v>246</v>
      </c>
      <c r="I136" s="16">
        <v>80.58</v>
      </c>
    </row>
    <row r="137" spans="1:9">
      <c r="A137" s="15">
        <v>46000</v>
      </c>
      <c r="B137">
        <f t="shared" si="8"/>
        <v>2025</v>
      </c>
      <c r="C137" t="str">
        <f t="shared" si="9"/>
        <v>dez</v>
      </c>
      <c r="D137" t="str">
        <f t="shared" si="10"/>
        <v>Dezembro</v>
      </c>
      <c r="E137" t="s">
        <v>6</v>
      </c>
      <c r="F137" t="s">
        <v>204</v>
      </c>
      <c r="G137" s="13" t="str">
        <f t="shared" si="11"/>
        <v/>
      </c>
      <c r="H137" t="s">
        <v>205</v>
      </c>
      <c r="I137" s="16">
        <v>57.89</v>
      </c>
    </row>
    <row r="138" spans="1:9">
      <c r="A138" s="15">
        <v>46001</v>
      </c>
      <c r="B138">
        <f t="shared" si="8"/>
        <v>2025</v>
      </c>
      <c r="C138" t="str">
        <f t="shared" si="9"/>
        <v>dez</v>
      </c>
      <c r="D138" t="str">
        <f t="shared" si="10"/>
        <v>Dezembro</v>
      </c>
      <c r="E138" t="s">
        <v>251</v>
      </c>
      <c r="F138" t="s">
        <v>9</v>
      </c>
      <c r="G138" s="13" t="str">
        <f t="shared" si="11"/>
        <v/>
      </c>
      <c r="H138" t="s">
        <v>218</v>
      </c>
      <c r="I138" s="16">
        <v>1613.74</v>
      </c>
    </row>
    <row r="139" spans="1:9">
      <c r="A139" s="15">
        <v>46003</v>
      </c>
      <c r="B139">
        <f t="shared" si="8"/>
        <v>2025</v>
      </c>
      <c r="C139" t="str">
        <f t="shared" si="9"/>
        <v>dez</v>
      </c>
      <c r="D139" t="str">
        <f t="shared" si="10"/>
        <v>Dezembro</v>
      </c>
      <c r="E139" t="s">
        <v>6</v>
      </c>
      <c r="F139" t="s">
        <v>204</v>
      </c>
      <c r="G139" s="13" t="str">
        <f t="shared" si="11"/>
        <v/>
      </c>
      <c r="H139" t="s">
        <v>22</v>
      </c>
      <c r="I139" s="16">
        <v>53.39</v>
      </c>
    </row>
    <row r="140" spans="1:9">
      <c r="A140" s="15">
        <v>46003</v>
      </c>
      <c r="B140">
        <f t="shared" si="8"/>
        <v>2025</v>
      </c>
      <c r="C140" t="str">
        <f t="shared" si="9"/>
        <v>dez</v>
      </c>
      <c r="D140" t="str">
        <f t="shared" si="10"/>
        <v>Dezembro</v>
      </c>
      <c r="E140" t="s">
        <v>6</v>
      </c>
      <c r="F140" t="s">
        <v>12</v>
      </c>
      <c r="G140" s="13" t="str">
        <f t="shared" si="11"/>
        <v/>
      </c>
      <c r="H140" t="s">
        <v>210</v>
      </c>
      <c r="I140" s="16">
        <v>32.83</v>
      </c>
    </row>
    <row r="141" spans="1:9">
      <c r="A141" s="15">
        <v>46005</v>
      </c>
      <c r="B141">
        <f t="shared" si="8"/>
        <v>2025</v>
      </c>
      <c r="C141" t="str">
        <f t="shared" si="9"/>
        <v>dez</v>
      </c>
      <c r="D141" t="str">
        <f t="shared" si="10"/>
        <v>Dezembro</v>
      </c>
      <c r="E141" t="s">
        <v>6</v>
      </c>
      <c r="F141" t="s">
        <v>11</v>
      </c>
      <c r="G141" s="13" t="str">
        <f t="shared" si="11"/>
        <v/>
      </c>
      <c r="H141" t="s">
        <v>223</v>
      </c>
      <c r="I141" s="16">
        <v>85.89</v>
      </c>
    </row>
    <row r="142" spans="1:9">
      <c r="A142" s="15">
        <v>46006</v>
      </c>
      <c r="B142">
        <f t="shared" si="8"/>
        <v>2025</v>
      </c>
      <c r="C142" t="str">
        <f t="shared" si="9"/>
        <v>dez</v>
      </c>
      <c r="D142" t="str">
        <f t="shared" si="10"/>
        <v>Dezembro</v>
      </c>
      <c r="E142" t="s">
        <v>6</v>
      </c>
      <c r="F142" t="s">
        <v>12</v>
      </c>
      <c r="G142" s="13" t="str">
        <f t="shared" si="11"/>
        <v/>
      </c>
      <c r="H142" t="s">
        <v>246</v>
      </c>
      <c r="I142" s="16">
        <v>159.63</v>
      </c>
    </row>
    <row r="143" spans="1:9">
      <c r="A143" s="15">
        <v>46006</v>
      </c>
      <c r="B143">
        <f t="shared" si="8"/>
        <v>2025</v>
      </c>
      <c r="C143" t="str">
        <f t="shared" si="9"/>
        <v>dez</v>
      </c>
      <c r="D143" t="str">
        <f t="shared" si="10"/>
        <v>Dezembro</v>
      </c>
      <c r="E143" t="s">
        <v>6</v>
      </c>
      <c r="F143" t="s">
        <v>238</v>
      </c>
      <c r="G143" s="13" t="str">
        <f t="shared" si="11"/>
        <v/>
      </c>
      <c r="H143" t="s">
        <v>19</v>
      </c>
      <c r="I143" s="16">
        <v>126.01</v>
      </c>
    </row>
    <row r="144" spans="1:9">
      <c r="A144" s="15">
        <v>46006</v>
      </c>
      <c r="B144">
        <f t="shared" si="8"/>
        <v>2025</v>
      </c>
      <c r="C144" t="str">
        <f t="shared" si="9"/>
        <v>dez</v>
      </c>
      <c r="D144" t="str">
        <f t="shared" si="10"/>
        <v>Dezembro</v>
      </c>
      <c r="E144" t="s">
        <v>6</v>
      </c>
      <c r="F144" t="s">
        <v>238</v>
      </c>
      <c r="G144" s="13" t="str">
        <f t="shared" si="11"/>
        <v/>
      </c>
      <c r="H144" t="s">
        <v>19</v>
      </c>
      <c r="I144" s="16">
        <v>296.58</v>
      </c>
    </row>
    <row r="145" spans="1:9">
      <c r="A145" s="15">
        <v>46006</v>
      </c>
      <c r="B145">
        <f t="shared" si="8"/>
        <v>2025</v>
      </c>
      <c r="C145" t="str">
        <f t="shared" si="9"/>
        <v>dez</v>
      </c>
      <c r="D145" t="str">
        <f t="shared" si="10"/>
        <v>Dezembro</v>
      </c>
      <c r="E145" t="s">
        <v>251</v>
      </c>
      <c r="F145" t="s">
        <v>224</v>
      </c>
      <c r="G145" s="13" t="str">
        <f t="shared" si="11"/>
        <v/>
      </c>
      <c r="H145" t="s">
        <v>240</v>
      </c>
      <c r="I145" s="16">
        <v>2060.86</v>
      </c>
    </row>
    <row r="146" spans="1:9">
      <c r="A146" s="15">
        <v>46006</v>
      </c>
      <c r="B146">
        <f t="shared" si="8"/>
        <v>2025</v>
      </c>
      <c r="C146" t="str">
        <f t="shared" si="9"/>
        <v>dez</v>
      </c>
      <c r="D146" t="str">
        <f t="shared" si="10"/>
        <v>Dezembro</v>
      </c>
      <c r="E146" t="s">
        <v>251</v>
      </c>
      <c r="F146" t="s">
        <v>224</v>
      </c>
      <c r="G146" s="13" t="str">
        <f t="shared" si="11"/>
        <v/>
      </c>
      <c r="H146" t="s">
        <v>225</v>
      </c>
      <c r="I146" s="16">
        <v>10.029999999999999</v>
      </c>
    </row>
    <row r="147" spans="1:9">
      <c r="A147" s="15">
        <v>46008</v>
      </c>
      <c r="B147">
        <f t="shared" si="8"/>
        <v>2025</v>
      </c>
      <c r="C147" t="str">
        <f t="shared" si="9"/>
        <v>dez</v>
      </c>
      <c r="D147" t="str">
        <f t="shared" si="10"/>
        <v>Dezembro</v>
      </c>
      <c r="E147" t="s">
        <v>6</v>
      </c>
      <c r="F147" t="s">
        <v>204</v>
      </c>
      <c r="G147" s="13" t="str">
        <f t="shared" si="11"/>
        <v/>
      </c>
      <c r="H147" t="s">
        <v>214</v>
      </c>
      <c r="I147" s="16">
        <v>6</v>
      </c>
    </row>
    <row r="148" spans="1:9">
      <c r="A148" s="15">
        <v>46009</v>
      </c>
      <c r="B148">
        <f t="shared" si="8"/>
        <v>2025</v>
      </c>
      <c r="C148" t="str">
        <f t="shared" si="9"/>
        <v>dez</v>
      </c>
      <c r="D148" t="str">
        <f t="shared" si="10"/>
        <v>Dezembro</v>
      </c>
      <c r="E148" t="s">
        <v>6</v>
      </c>
      <c r="F148" t="s">
        <v>204</v>
      </c>
      <c r="G148" s="13" t="str">
        <f t="shared" si="11"/>
        <v/>
      </c>
      <c r="H148" t="s">
        <v>30</v>
      </c>
      <c r="I148" s="16">
        <v>37.9</v>
      </c>
    </row>
    <row r="149" spans="1:9">
      <c r="A149" s="15">
        <v>46009</v>
      </c>
      <c r="B149">
        <f t="shared" si="8"/>
        <v>2025</v>
      </c>
      <c r="C149" t="str">
        <f t="shared" si="9"/>
        <v>dez</v>
      </c>
      <c r="D149" t="str">
        <f t="shared" si="10"/>
        <v>Dezembro</v>
      </c>
      <c r="E149" t="s">
        <v>6</v>
      </c>
      <c r="F149" t="s">
        <v>219</v>
      </c>
      <c r="G149" s="13" t="str">
        <f t="shared" si="11"/>
        <v/>
      </c>
      <c r="H149" t="s">
        <v>220</v>
      </c>
      <c r="I149" s="16">
        <v>9.99</v>
      </c>
    </row>
    <row r="150" spans="1:9">
      <c r="A150" s="15">
        <v>46009</v>
      </c>
      <c r="B150">
        <f t="shared" si="8"/>
        <v>2025</v>
      </c>
      <c r="C150" t="str">
        <f t="shared" si="9"/>
        <v>dez</v>
      </c>
      <c r="D150" t="str">
        <f t="shared" si="10"/>
        <v>Dezembro</v>
      </c>
      <c r="E150" t="s">
        <v>6</v>
      </c>
      <c r="F150" t="s">
        <v>12</v>
      </c>
      <c r="G150" s="13" t="str">
        <f t="shared" si="11"/>
        <v/>
      </c>
      <c r="H150" t="s">
        <v>228</v>
      </c>
      <c r="I150" s="16">
        <v>200</v>
      </c>
    </row>
    <row r="151" spans="1:9">
      <c r="A151" s="15">
        <v>46010</v>
      </c>
      <c r="B151">
        <f t="shared" si="8"/>
        <v>2025</v>
      </c>
      <c r="C151" t="str">
        <f t="shared" si="9"/>
        <v>dez</v>
      </c>
      <c r="D151" t="str">
        <f t="shared" si="10"/>
        <v>Dezembro</v>
      </c>
      <c r="E151" t="s">
        <v>6</v>
      </c>
      <c r="F151" t="s">
        <v>12</v>
      </c>
      <c r="G151" s="13" t="str">
        <f t="shared" si="11"/>
        <v/>
      </c>
      <c r="H151" t="s">
        <v>247</v>
      </c>
      <c r="I151" s="16">
        <v>42</v>
      </c>
    </row>
    <row r="152" spans="1:9">
      <c r="A152" s="15">
        <v>46010</v>
      </c>
      <c r="B152">
        <f t="shared" si="8"/>
        <v>2025</v>
      </c>
      <c r="C152" t="str">
        <f t="shared" si="9"/>
        <v>dez</v>
      </c>
      <c r="D152" t="str">
        <f t="shared" si="10"/>
        <v>Dezembro</v>
      </c>
      <c r="E152" t="s">
        <v>5</v>
      </c>
      <c r="F152" t="s">
        <v>201</v>
      </c>
      <c r="G152" s="13" t="str">
        <f t="shared" si="11"/>
        <v>Outras Receitas</v>
      </c>
      <c r="H152" t="s">
        <v>249</v>
      </c>
      <c r="I152" s="16">
        <v>1099.02</v>
      </c>
    </row>
    <row r="153" spans="1:9">
      <c r="A153" s="15">
        <v>46010</v>
      </c>
      <c r="B153">
        <f t="shared" si="8"/>
        <v>2025</v>
      </c>
      <c r="C153" t="str">
        <f t="shared" si="9"/>
        <v>dez</v>
      </c>
      <c r="D153" t="str">
        <f t="shared" si="10"/>
        <v>Dezembro</v>
      </c>
      <c r="E153" t="s">
        <v>251</v>
      </c>
      <c r="F153" t="s">
        <v>224</v>
      </c>
      <c r="G153" s="13" t="str">
        <f t="shared" si="11"/>
        <v/>
      </c>
      <c r="H153" t="s">
        <v>239</v>
      </c>
      <c r="I153" s="16">
        <v>252</v>
      </c>
    </row>
    <row r="154" spans="1:9">
      <c r="A154" s="15">
        <v>46011</v>
      </c>
      <c r="B154">
        <f t="shared" si="8"/>
        <v>2025</v>
      </c>
      <c r="C154" t="str">
        <f t="shared" si="9"/>
        <v>dez</v>
      </c>
      <c r="D154" t="str">
        <f t="shared" si="10"/>
        <v>Dezembro</v>
      </c>
      <c r="E154" t="s">
        <v>6</v>
      </c>
      <c r="F154" t="s">
        <v>12</v>
      </c>
      <c r="G154" s="13" t="str">
        <f t="shared" si="11"/>
        <v/>
      </c>
      <c r="H154" t="s">
        <v>210</v>
      </c>
      <c r="I154" s="16">
        <v>200</v>
      </c>
    </row>
    <row r="155" spans="1:9">
      <c r="A155" s="15">
        <v>46012</v>
      </c>
      <c r="B155">
        <f t="shared" si="8"/>
        <v>2025</v>
      </c>
      <c r="C155" t="str">
        <f t="shared" si="9"/>
        <v>dez</v>
      </c>
      <c r="D155" t="str">
        <f t="shared" si="10"/>
        <v>Dezembro</v>
      </c>
      <c r="E155" t="s">
        <v>6</v>
      </c>
      <c r="F155" t="s">
        <v>12</v>
      </c>
      <c r="G155" s="13" t="str">
        <f t="shared" si="11"/>
        <v/>
      </c>
      <c r="H155" t="s">
        <v>210</v>
      </c>
      <c r="I155" s="16">
        <v>50</v>
      </c>
    </row>
    <row r="156" spans="1:9">
      <c r="A156" s="15">
        <v>46012</v>
      </c>
      <c r="B156">
        <f t="shared" si="8"/>
        <v>2025</v>
      </c>
      <c r="C156" t="str">
        <f t="shared" si="9"/>
        <v>dez</v>
      </c>
      <c r="D156" t="str">
        <f t="shared" si="10"/>
        <v>Dezembro</v>
      </c>
      <c r="E156" t="s">
        <v>6</v>
      </c>
      <c r="F156" t="s">
        <v>10</v>
      </c>
      <c r="G156" s="13" t="str">
        <f t="shared" si="11"/>
        <v/>
      </c>
      <c r="H156" t="s">
        <v>34</v>
      </c>
      <c r="I156" s="16">
        <v>35.58</v>
      </c>
    </row>
    <row r="157" spans="1:9">
      <c r="A157" s="15">
        <v>46012</v>
      </c>
      <c r="B157">
        <f t="shared" si="8"/>
        <v>2025</v>
      </c>
      <c r="C157" t="str">
        <f t="shared" si="9"/>
        <v>dez</v>
      </c>
      <c r="D157" t="str">
        <f t="shared" si="10"/>
        <v>Dezembro</v>
      </c>
      <c r="E157" t="s">
        <v>6</v>
      </c>
      <c r="F157" t="s">
        <v>204</v>
      </c>
      <c r="G157" s="13" t="str">
        <f t="shared" si="11"/>
        <v/>
      </c>
      <c r="H157" t="s">
        <v>205</v>
      </c>
      <c r="I157" s="16">
        <v>110.51</v>
      </c>
    </row>
    <row r="158" spans="1:9">
      <c r="A158" s="15">
        <v>46013</v>
      </c>
      <c r="B158">
        <f t="shared" si="8"/>
        <v>2025</v>
      </c>
      <c r="C158" t="str">
        <f t="shared" si="9"/>
        <v>dez</v>
      </c>
      <c r="D158" t="str">
        <f t="shared" si="10"/>
        <v>Dezembro</v>
      </c>
      <c r="E158" t="s">
        <v>6</v>
      </c>
      <c r="F158" t="s">
        <v>204</v>
      </c>
      <c r="G158" s="13" t="str">
        <f t="shared" si="11"/>
        <v/>
      </c>
      <c r="H158" t="s">
        <v>214</v>
      </c>
      <c r="I158" s="16">
        <v>20</v>
      </c>
    </row>
    <row r="159" spans="1:9">
      <c r="A159" s="15">
        <v>46014</v>
      </c>
      <c r="B159">
        <f t="shared" si="8"/>
        <v>2025</v>
      </c>
      <c r="C159" t="str">
        <f t="shared" si="9"/>
        <v>dez</v>
      </c>
      <c r="D159" t="str">
        <f t="shared" si="10"/>
        <v>Dezembro</v>
      </c>
      <c r="E159" t="s">
        <v>6</v>
      </c>
      <c r="F159" t="s">
        <v>222</v>
      </c>
      <c r="G159" s="13" t="str">
        <f t="shared" si="11"/>
        <v/>
      </c>
      <c r="H159" t="s">
        <v>215</v>
      </c>
      <c r="I159" s="16">
        <v>105</v>
      </c>
    </row>
    <row r="160" spans="1:9">
      <c r="A160" s="15">
        <v>46014</v>
      </c>
      <c r="B160">
        <f t="shared" si="8"/>
        <v>2025</v>
      </c>
      <c r="C160" t="str">
        <f t="shared" si="9"/>
        <v>dez</v>
      </c>
      <c r="D160" t="str">
        <f t="shared" si="10"/>
        <v>Dezembro</v>
      </c>
      <c r="E160" t="s">
        <v>251</v>
      </c>
      <c r="F160" t="s">
        <v>224</v>
      </c>
      <c r="G160" s="13" t="str">
        <f t="shared" si="11"/>
        <v/>
      </c>
      <c r="H160" t="s">
        <v>241</v>
      </c>
      <c r="I160" s="16">
        <v>6.91</v>
      </c>
    </row>
    <row r="161" spans="1:9">
      <c r="A161" s="15">
        <v>46016</v>
      </c>
      <c r="B161">
        <f t="shared" si="8"/>
        <v>2025</v>
      </c>
      <c r="C161" t="str">
        <f t="shared" si="9"/>
        <v>dez</v>
      </c>
      <c r="D161" t="str">
        <f t="shared" si="10"/>
        <v>Dezembro</v>
      </c>
      <c r="E161" t="s">
        <v>6</v>
      </c>
      <c r="F161" t="s">
        <v>204</v>
      </c>
      <c r="G161" s="13" t="str">
        <f t="shared" si="11"/>
        <v/>
      </c>
      <c r="H161" t="s">
        <v>205</v>
      </c>
      <c r="I161" s="16">
        <v>166.17</v>
      </c>
    </row>
    <row r="162" spans="1:9">
      <c r="A162" s="15">
        <v>46017</v>
      </c>
      <c r="B162">
        <f t="shared" si="8"/>
        <v>2025</v>
      </c>
      <c r="C162" t="str">
        <f t="shared" si="9"/>
        <v>dez</v>
      </c>
      <c r="D162" t="str">
        <f t="shared" si="10"/>
        <v>Dezembro</v>
      </c>
      <c r="E162" t="s">
        <v>6</v>
      </c>
      <c r="F162" t="s">
        <v>12</v>
      </c>
      <c r="G162" s="13" t="str">
        <f t="shared" si="11"/>
        <v/>
      </c>
      <c r="H162" t="s">
        <v>248</v>
      </c>
      <c r="I162" s="16">
        <v>9.99</v>
      </c>
    </row>
    <row r="163" spans="1:9">
      <c r="A163" s="15">
        <v>46018</v>
      </c>
      <c r="B163">
        <f t="shared" si="8"/>
        <v>2025</v>
      </c>
      <c r="C163" t="str">
        <f t="shared" si="9"/>
        <v>dez</v>
      </c>
      <c r="D163" t="str">
        <f t="shared" si="10"/>
        <v>Dezembro</v>
      </c>
      <c r="E163" t="s">
        <v>6</v>
      </c>
      <c r="F163" t="s">
        <v>10</v>
      </c>
      <c r="G163" s="13" t="str">
        <f t="shared" si="11"/>
        <v/>
      </c>
      <c r="H163" t="s">
        <v>40</v>
      </c>
      <c r="I163" s="16">
        <v>30</v>
      </c>
    </row>
    <row r="164" spans="1:9">
      <c r="A164" s="15">
        <v>46019</v>
      </c>
      <c r="B164">
        <f t="shared" si="8"/>
        <v>2025</v>
      </c>
      <c r="C164" t="str">
        <f t="shared" si="9"/>
        <v>dez</v>
      </c>
      <c r="D164" t="str">
        <f t="shared" si="10"/>
        <v>Dezembro</v>
      </c>
      <c r="E164" t="s">
        <v>6</v>
      </c>
      <c r="F164" t="s">
        <v>204</v>
      </c>
      <c r="G164" s="13" t="str">
        <f t="shared" si="11"/>
        <v/>
      </c>
      <c r="H164" t="s">
        <v>30</v>
      </c>
      <c r="I164" s="16">
        <v>21.01</v>
      </c>
    </row>
    <row r="165" spans="1:9">
      <c r="A165" s="15">
        <v>46019</v>
      </c>
      <c r="B165">
        <f t="shared" si="8"/>
        <v>2025</v>
      </c>
      <c r="C165" t="str">
        <f t="shared" si="9"/>
        <v>dez</v>
      </c>
      <c r="D165" t="str">
        <f t="shared" si="10"/>
        <v>Dezembro</v>
      </c>
      <c r="E165" t="s">
        <v>6</v>
      </c>
      <c r="F165" t="s">
        <v>238</v>
      </c>
      <c r="G165" s="13" t="str">
        <f t="shared" si="11"/>
        <v/>
      </c>
      <c r="H165" t="s">
        <v>19</v>
      </c>
      <c r="I165" s="16">
        <v>59.9</v>
      </c>
    </row>
    <row r="166" spans="1:9">
      <c r="A166" s="15">
        <v>46021</v>
      </c>
      <c r="B166">
        <f t="shared" si="8"/>
        <v>2025</v>
      </c>
      <c r="C166" t="str">
        <f t="shared" si="9"/>
        <v>dez</v>
      </c>
      <c r="D166" t="str">
        <f t="shared" si="10"/>
        <v>Dezembro</v>
      </c>
      <c r="E166" t="s">
        <v>5</v>
      </c>
      <c r="F166" t="s">
        <v>201</v>
      </c>
      <c r="G166" s="13" t="str">
        <f t="shared" si="11"/>
        <v>Salário</v>
      </c>
      <c r="H166" t="s">
        <v>7</v>
      </c>
      <c r="I166" s="16">
        <v>5087.8100000000004</v>
      </c>
    </row>
    <row r="167" spans="1:9">
      <c r="A167" s="15">
        <v>46021</v>
      </c>
      <c r="B167">
        <f t="shared" si="8"/>
        <v>2025</v>
      </c>
      <c r="C167" t="str">
        <f t="shared" si="9"/>
        <v>dez</v>
      </c>
      <c r="D167" t="str">
        <f t="shared" si="10"/>
        <v>Dezembro</v>
      </c>
      <c r="E167" t="s">
        <v>251</v>
      </c>
      <c r="F167" t="s">
        <v>224</v>
      </c>
      <c r="G167" s="13" t="str">
        <f t="shared" si="11"/>
        <v/>
      </c>
      <c r="H167" t="s">
        <v>239</v>
      </c>
      <c r="I167" s="16">
        <v>252</v>
      </c>
    </row>
    <row r="168" spans="1:9">
      <c r="A168" s="15">
        <v>46024</v>
      </c>
      <c r="B168">
        <f t="shared" si="8"/>
        <v>2026</v>
      </c>
      <c r="C168" t="str">
        <f t="shared" si="9"/>
        <v>jan</v>
      </c>
      <c r="D168" t="str">
        <f t="shared" si="10"/>
        <v>Janeiro</v>
      </c>
      <c r="E168" t="s">
        <v>6</v>
      </c>
      <c r="F168" t="s">
        <v>206</v>
      </c>
      <c r="G168" s="13" t="str">
        <f t="shared" si="11"/>
        <v/>
      </c>
      <c r="H168" t="s">
        <v>207</v>
      </c>
      <c r="I168" s="16">
        <v>99.9</v>
      </c>
    </row>
    <row r="169" spans="1:9">
      <c r="A169" s="15">
        <v>46024</v>
      </c>
      <c r="B169">
        <f t="shared" si="8"/>
        <v>2026</v>
      </c>
      <c r="C169" t="str">
        <f t="shared" si="9"/>
        <v>jan</v>
      </c>
      <c r="D169" t="str">
        <f t="shared" si="10"/>
        <v>Janeiro</v>
      </c>
      <c r="E169" t="s">
        <v>6</v>
      </c>
      <c r="F169" t="s">
        <v>219</v>
      </c>
      <c r="G169" s="13" t="str">
        <f t="shared" si="11"/>
        <v/>
      </c>
      <c r="H169" t="s">
        <v>155</v>
      </c>
      <c r="I169" s="16">
        <v>3.5</v>
      </c>
    </row>
    <row r="170" spans="1:9">
      <c r="A170" s="15">
        <v>46025</v>
      </c>
      <c r="B170">
        <f t="shared" si="8"/>
        <v>2026</v>
      </c>
      <c r="C170" t="str">
        <f t="shared" si="9"/>
        <v>jan</v>
      </c>
      <c r="D170" t="str">
        <f t="shared" si="10"/>
        <v>Janeiro</v>
      </c>
      <c r="E170" t="s">
        <v>6</v>
      </c>
      <c r="F170" t="s">
        <v>206</v>
      </c>
      <c r="G170" s="13" t="str">
        <f t="shared" si="11"/>
        <v/>
      </c>
      <c r="H170" t="s">
        <v>208</v>
      </c>
      <c r="I170" s="16">
        <v>80</v>
      </c>
    </row>
    <row r="171" spans="1:9">
      <c r="A171" s="15">
        <v>46025</v>
      </c>
      <c r="B171">
        <f t="shared" si="8"/>
        <v>2026</v>
      </c>
      <c r="C171" t="str">
        <f t="shared" si="9"/>
        <v>jan</v>
      </c>
      <c r="D171" t="str">
        <f t="shared" si="10"/>
        <v>Janeiro</v>
      </c>
      <c r="E171" t="s">
        <v>6</v>
      </c>
      <c r="F171" t="s">
        <v>204</v>
      </c>
      <c r="G171" s="13" t="str">
        <f t="shared" si="11"/>
        <v/>
      </c>
      <c r="H171" t="s">
        <v>22</v>
      </c>
      <c r="I171" s="16">
        <v>148.25</v>
      </c>
    </row>
    <row r="172" spans="1:9">
      <c r="A172" s="15">
        <v>46025</v>
      </c>
      <c r="B172">
        <f t="shared" si="8"/>
        <v>2026</v>
      </c>
      <c r="C172" t="str">
        <f t="shared" si="9"/>
        <v>jan</v>
      </c>
      <c r="D172" t="str">
        <f t="shared" si="10"/>
        <v>Janeiro</v>
      </c>
      <c r="E172" t="s">
        <v>6</v>
      </c>
      <c r="F172" t="s">
        <v>10</v>
      </c>
      <c r="G172" s="13" t="str">
        <f t="shared" si="11"/>
        <v/>
      </c>
      <c r="H172" t="s">
        <v>34</v>
      </c>
      <c r="I172" s="16">
        <v>53.96</v>
      </c>
    </row>
    <row r="173" spans="1:9">
      <c r="A173" s="15">
        <v>46026</v>
      </c>
      <c r="B173">
        <f t="shared" si="8"/>
        <v>2026</v>
      </c>
      <c r="C173" t="str">
        <f t="shared" si="9"/>
        <v>jan</v>
      </c>
      <c r="D173" t="str">
        <f t="shared" si="10"/>
        <v>Janeiro</v>
      </c>
      <c r="E173" t="s">
        <v>6</v>
      </c>
      <c r="F173" t="s">
        <v>10</v>
      </c>
      <c r="G173" s="13" t="str">
        <f t="shared" si="11"/>
        <v/>
      </c>
      <c r="H173" t="s">
        <v>34</v>
      </c>
      <c r="I173" s="16">
        <v>38.57</v>
      </c>
    </row>
    <row r="174" spans="1:9">
      <c r="A174" s="15">
        <v>46026</v>
      </c>
      <c r="B174">
        <f t="shared" si="8"/>
        <v>2026</v>
      </c>
      <c r="C174" t="str">
        <f t="shared" si="9"/>
        <v>jan</v>
      </c>
      <c r="D174" t="str">
        <f t="shared" si="10"/>
        <v>Janeiro</v>
      </c>
      <c r="E174" t="s">
        <v>6</v>
      </c>
      <c r="F174" t="s">
        <v>204</v>
      </c>
      <c r="G174" s="13" t="str">
        <f t="shared" si="11"/>
        <v/>
      </c>
      <c r="H174" t="s">
        <v>30</v>
      </c>
      <c r="I174" s="16">
        <v>24.9</v>
      </c>
    </row>
    <row r="175" spans="1:9">
      <c r="A175" s="15">
        <v>46027</v>
      </c>
      <c r="B175">
        <f t="shared" si="8"/>
        <v>2026</v>
      </c>
      <c r="C175" t="str">
        <f t="shared" si="9"/>
        <v>jan</v>
      </c>
      <c r="D175" t="str">
        <f t="shared" si="10"/>
        <v>Janeiro</v>
      </c>
      <c r="E175" t="s">
        <v>5</v>
      </c>
      <c r="F175" t="s">
        <v>201</v>
      </c>
      <c r="G175" s="13" t="str">
        <f t="shared" si="11"/>
        <v>Outras Receitas</v>
      </c>
      <c r="H175" t="s">
        <v>186</v>
      </c>
      <c r="I175" s="16">
        <v>1500</v>
      </c>
    </row>
    <row r="176" spans="1:9">
      <c r="A176" s="15">
        <v>46027</v>
      </c>
      <c r="B176">
        <f t="shared" si="8"/>
        <v>2026</v>
      </c>
      <c r="C176" t="str">
        <f t="shared" si="9"/>
        <v>jan</v>
      </c>
      <c r="D176" t="str">
        <f t="shared" si="10"/>
        <v>Janeiro</v>
      </c>
      <c r="E176" t="s">
        <v>6</v>
      </c>
      <c r="F176" t="s">
        <v>12</v>
      </c>
      <c r="G176" s="13" t="str">
        <f t="shared" si="11"/>
        <v/>
      </c>
      <c r="H176" t="s">
        <v>246</v>
      </c>
      <c r="I176" s="16">
        <v>300</v>
      </c>
    </row>
    <row r="177" spans="1:9">
      <c r="A177" s="15">
        <v>46031</v>
      </c>
      <c r="B177">
        <f t="shared" si="8"/>
        <v>2026</v>
      </c>
      <c r="C177" t="str">
        <f t="shared" si="9"/>
        <v>jan</v>
      </c>
      <c r="D177" t="str">
        <f t="shared" si="10"/>
        <v>Janeiro</v>
      </c>
      <c r="E177" t="s">
        <v>6</v>
      </c>
      <c r="F177" t="s">
        <v>10</v>
      </c>
      <c r="G177" s="13" t="str">
        <f t="shared" si="11"/>
        <v/>
      </c>
      <c r="H177" t="s">
        <v>34</v>
      </c>
      <c r="I177" s="16">
        <v>40.24</v>
      </c>
    </row>
    <row r="178" spans="1:9">
      <c r="A178" s="15">
        <v>46031</v>
      </c>
      <c r="B178">
        <f t="shared" si="8"/>
        <v>2026</v>
      </c>
      <c r="C178" t="str">
        <f t="shared" si="9"/>
        <v>jan</v>
      </c>
      <c r="D178" t="str">
        <f t="shared" si="10"/>
        <v>Janeiro</v>
      </c>
      <c r="E178" t="s">
        <v>6</v>
      </c>
      <c r="F178" t="s">
        <v>12</v>
      </c>
      <c r="G178" s="13" t="str">
        <f t="shared" si="11"/>
        <v/>
      </c>
      <c r="H178" t="s">
        <v>244</v>
      </c>
      <c r="I178" s="16">
        <v>120</v>
      </c>
    </row>
    <row r="179" spans="1:9">
      <c r="A179" s="15">
        <v>46032</v>
      </c>
      <c r="B179">
        <f t="shared" si="8"/>
        <v>2026</v>
      </c>
      <c r="C179" t="str">
        <f t="shared" si="9"/>
        <v>jan</v>
      </c>
      <c r="D179" t="str">
        <f t="shared" si="10"/>
        <v>Janeiro</v>
      </c>
      <c r="E179" t="s">
        <v>6</v>
      </c>
      <c r="F179" t="s">
        <v>12</v>
      </c>
      <c r="G179" s="13" t="str">
        <f t="shared" si="11"/>
        <v/>
      </c>
      <c r="H179" t="s">
        <v>211</v>
      </c>
      <c r="I179" s="16">
        <v>54</v>
      </c>
    </row>
    <row r="180" spans="1:9">
      <c r="A180" s="15">
        <v>46032</v>
      </c>
      <c r="B180">
        <f t="shared" si="8"/>
        <v>2026</v>
      </c>
      <c r="C180" t="str">
        <f t="shared" si="9"/>
        <v>jan</v>
      </c>
      <c r="D180" t="str">
        <f t="shared" si="10"/>
        <v>Janeiro</v>
      </c>
      <c r="E180" t="s">
        <v>6</v>
      </c>
      <c r="F180" t="s">
        <v>204</v>
      </c>
      <c r="G180" s="13" t="str">
        <f t="shared" si="11"/>
        <v/>
      </c>
      <c r="H180" t="s">
        <v>30</v>
      </c>
      <c r="I180" s="16">
        <v>19.989999999999998</v>
      </c>
    </row>
    <row r="181" spans="1:9">
      <c r="A181" s="15">
        <v>46032</v>
      </c>
      <c r="B181">
        <f t="shared" si="8"/>
        <v>2026</v>
      </c>
      <c r="C181" t="str">
        <f t="shared" si="9"/>
        <v>jan</v>
      </c>
      <c r="D181" t="str">
        <f t="shared" si="10"/>
        <v>Janeiro</v>
      </c>
      <c r="E181" t="s">
        <v>6</v>
      </c>
      <c r="F181" t="s">
        <v>12</v>
      </c>
      <c r="G181" s="13" t="str">
        <f t="shared" si="11"/>
        <v/>
      </c>
      <c r="H181" t="s">
        <v>247</v>
      </c>
      <c r="I181" s="16">
        <v>199.99</v>
      </c>
    </row>
    <row r="182" spans="1:9">
      <c r="A182" s="15">
        <v>46032</v>
      </c>
      <c r="B182">
        <f t="shared" si="8"/>
        <v>2026</v>
      </c>
      <c r="C182" t="str">
        <f t="shared" si="9"/>
        <v>jan</v>
      </c>
      <c r="D182" t="str">
        <f t="shared" si="10"/>
        <v>Janeiro</v>
      </c>
      <c r="E182" t="s">
        <v>6</v>
      </c>
      <c r="F182" t="s">
        <v>204</v>
      </c>
      <c r="G182" s="13" t="str">
        <f t="shared" si="11"/>
        <v/>
      </c>
      <c r="H182" t="s">
        <v>30</v>
      </c>
      <c r="I182" s="16">
        <v>43.9</v>
      </c>
    </row>
    <row r="183" spans="1:9">
      <c r="A183" s="15">
        <v>46032</v>
      </c>
      <c r="B183">
        <f t="shared" si="8"/>
        <v>2026</v>
      </c>
      <c r="C183" t="str">
        <f t="shared" si="9"/>
        <v>jan</v>
      </c>
      <c r="D183" t="str">
        <f t="shared" si="10"/>
        <v>Janeiro</v>
      </c>
      <c r="E183" t="s">
        <v>6</v>
      </c>
      <c r="F183" t="s">
        <v>10</v>
      </c>
      <c r="G183" s="13" t="str">
        <f t="shared" si="11"/>
        <v/>
      </c>
      <c r="H183" t="s">
        <v>34</v>
      </c>
      <c r="I183" s="16">
        <v>31.45</v>
      </c>
    </row>
    <row r="184" spans="1:9">
      <c r="A184" s="15">
        <v>46034</v>
      </c>
      <c r="B184">
        <f t="shared" si="8"/>
        <v>2026</v>
      </c>
      <c r="C184" t="str">
        <f t="shared" si="9"/>
        <v>jan</v>
      </c>
      <c r="D184" t="str">
        <f t="shared" si="10"/>
        <v>Janeiro</v>
      </c>
      <c r="E184" t="s">
        <v>5</v>
      </c>
      <c r="F184" t="s">
        <v>201</v>
      </c>
      <c r="G184" s="13" t="str">
        <f t="shared" si="11"/>
        <v>Outras Receitas</v>
      </c>
      <c r="H184" t="s">
        <v>250</v>
      </c>
      <c r="I184" s="16">
        <v>135.28</v>
      </c>
    </row>
    <row r="185" spans="1:9">
      <c r="A185" s="15">
        <v>46034</v>
      </c>
      <c r="B185">
        <f t="shared" si="8"/>
        <v>2026</v>
      </c>
      <c r="C185" t="str">
        <f t="shared" si="9"/>
        <v>jan</v>
      </c>
      <c r="D185" t="str">
        <f t="shared" si="10"/>
        <v>Janeiro</v>
      </c>
      <c r="E185" t="s">
        <v>5</v>
      </c>
      <c r="F185" t="s">
        <v>12</v>
      </c>
      <c r="G185" s="13" t="str">
        <f t="shared" si="11"/>
        <v>Outras Receitas</v>
      </c>
      <c r="H185" t="s">
        <v>246</v>
      </c>
      <c r="I185" s="16">
        <v>100</v>
      </c>
    </row>
    <row r="186" spans="1:9">
      <c r="A186" s="15">
        <v>46034</v>
      </c>
      <c r="B186">
        <f t="shared" si="8"/>
        <v>2026</v>
      </c>
      <c r="C186" t="str">
        <f t="shared" si="9"/>
        <v>jan</v>
      </c>
      <c r="D186" t="str">
        <f t="shared" si="10"/>
        <v>Janeiro</v>
      </c>
      <c r="E186" t="s">
        <v>251</v>
      </c>
      <c r="F186" t="s">
        <v>9</v>
      </c>
      <c r="G186" s="13" t="str">
        <f t="shared" si="11"/>
        <v/>
      </c>
      <c r="H186" t="s">
        <v>218</v>
      </c>
      <c r="I186" s="16">
        <v>2350.3000000000002</v>
      </c>
    </row>
    <row r="187" spans="1:9">
      <c r="A187" s="15">
        <v>46034</v>
      </c>
      <c r="B187">
        <f t="shared" si="8"/>
        <v>2026</v>
      </c>
      <c r="C187" t="str">
        <f t="shared" si="9"/>
        <v>jan</v>
      </c>
      <c r="D187" t="str">
        <f t="shared" si="10"/>
        <v>Janeiro</v>
      </c>
      <c r="E187" t="s">
        <v>6</v>
      </c>
      <c r="F187" t="s">
        <v>219</v>
      </c>
      <c r="G187" s="13" t="str">
        <f t="shared" si="11"/>
        <v/>
      </c>
      <c r="H187" t="s">
        <v>221</v>
      </c>
      <c r="I187" s="16">
        <v>89.99</v>
      </c>
    </row>
    <row r="188" spans="1:9">
      <c r="A188" s="15">
        <v>46035</v>
      </c>
      <c r="B188">
        <f t="shared" ref="B188:B249" si="12">YEAR(A188)</f>
        <v>2026</v>
      </c>
      <c r="C188" t="str">
        <f t="shared" ref="C188:C249" si="13">TEXT(A188,"mmm")</f>
        <v>jan</v>
      </c>
      <c r="D188" t="str">
        <f t="shared" ref="D188:D249" si="14">PROPER(TEXT(A188,"Mmmm"))</f>
        <v>Janeiro</v>
      </c>
      <c r="E188" t="s">
        <v>6</v>
      </c>
      <c r="F188" t="s">
        <v>204</v>
      </c>
      <c r="G188" s="13" t="str">
        <f t="shared" si="11"/>
        <v/>
      </c>
      <c r="H188" t="s">
        <v>30</v>
      </c>
      <c r="I188" s="16">
        <v>37.4</v>
      </c>
    </row>
    <row r="189" spans="1:9">
      <c r="A189" s="15">
        <v>46035</v>
      </c>
      <c r="B189">
        <f t="shared" si="12"/>
        <v>2026</v>
      </c>
      <c r="C189" t="str">
        <f t="shared" si="13"/>
        <v>jan</v>
      </c>
      <c r="D189" t="str">
        <f t="shared" si="14"/>
        <v>Janeiro</v>
      </c>
      <c r="E189" t="s">
        <v>6</v>
      </c>
      <c r="F189" t="s">
        <v>12</v>
      </c>
      <c r="G189" s="13" t="str">
        <f t="shared" si="11"/>
        <v/>
      </c>
      <c r="H189" t="s">
        <v>247</v>
      </c>
      <c r="I189" s="16">
        <v>55.79</v>
      </c>
    </row>
    <row r="190" spans="1:9">
      <c r="A190" s="15">
        <v>46037</v>
      </c>
      <c r="B190">
        <f t="shared" si="12"/>
        <v>2026</v>
      </c>
      <c r="C190" t="str">
        <f t="shared" si="13"/>
        <v>jan</v>
      </c>
      <c r="D190" t="str">
        <f t="shared" si="14"/>
        <v>Janeiro</v>
      </c>
      <c r="E190" t="s">
        <v>6</v>
      </c>
      <c r="F190" t="s">
        <v>12</v>
      </c>
      <c r="G190" s="13" t="str">
        <f t="shared" si="11"/>
        <v/>
      </c>
      <c r="H190" t="s">
        <v>246</v>
      </c>
      <c r="I190" s="16">
        <v>159.63</v>
      </c>
    </row>
    <row r="191" spans="1:9">
      <c r="A191" s="15">
        <v>46037</v>
      </c>
      <c r="B191">
        <f t="shared" si="12"/>
        <v>2026</v>
      </c>
      <c r="C191" t="str">
        <f t="shared" si="13"/>
        <v>jan</v>
      </c>
      <c r="D191" t="str">
        <f t="shared" si="14"/>
        <v>Janeiro</v>
      </c>
      <c r="E191" t="s">
        <v>6</v>
      </c>
      <c r="F191" t="s">
        <v>238</v>
      </c>
      <c r="G191" s="13" t="str">
        <f t="shared" si="11"/>
        <v/>
      </c>
      <c r="H191" t="s">
        <v>19</v>
      </c>
      <c r="I191" s="16">
        <v>296.58</v>
      </c>
    </row>
    <row r="192" spans="1:9">
      <c r="A192" s="15">
        <v>46037</v>
      </c>
      <c r="B192">
        <f t="shared" si="12"/>
        <v>2026</v>
      </c>
      <c r="C192" t="str">
        <f t="shared" si="13"/>
        <v>jan</v>
      </c>
      <c r="D192" t="str">
        <f t="shared" si="14"/>
        <v>Janeiro</v>
      </c>
      <c r="E192" t="s">
        <v>6</v>
      </c>
      <c r="F192" t="s">
        <v>238</v>
      </c>
      <c r="G192" s="13" t="str">
        <f t="shared" si="11"/>
        <v/>
      </c>
      <c r="H192" t="s">
        <v>19</v>
      </c>
      <c r="I192" s="16">
        <v>126.01</v>
      </c>
    </row>
    <row r="193" spans="1:9">
      <c r="A193" s="15">
        <v>46038</v>
      </c>
      <c r="B193">
        <f t="shared" si="12"/>
        <v>2026</v>
      </c>
      <c r="C193" t="str">
        <f t="shared" si="13"/>
        <v>jan</v>
      </c>
      <c r="D193" t="str">
        <f t="shared" si="14"/>
        <v>Janeiro</v>
      </c>
      <c r="E193" t="s">
        <v>6</v>
      </c>
      <c r="F193" t="s">
        <v>10</v>
      </c>
      <c r="G193" s="13" t="str">
        <f t="shared" si="11"/>
        <v/>
      </c>
      <c r="H193" t="s">
        <v>34</v>
      </c>
      <c r="I193" s="16">
        <v>77.959999999999994</v>
      </c>
    </row>
    <row r="194" spans="1:9">
      <c r="A194" s="15">
        <v>46038</v>
      </c>
      <c r="B194">
        <f t="shared" si="12"/>
        <v>2026</v>
      </c>
      <c r="C194" t="str">
        <f t="shared" si="13"/>
        <v>jan</v>
      </c>
      <c r="D194" t="str">
        <f t="shared" si="14"/>
        <v>Janeiro</v>
      </c>
      <c r="E194" t="s">
        <v>251</v>
      </c>
      <c r="F194" t="s">
        <v>224</v>
      </c>
      <c r="G194" s="13" t="str">
        <f t="shared" si="11"/>
        <v/>
      </c>
      <c r="H194" t="s">
        <v>225</v>
      </c>
      <c r="I194" s="16">
        <v>11.09</v>
      </c>
    </row>
    <row r="195" spans="1:9">
      <c r="A195" s="15">
        <v>46038</v>
      </c>
      <c r="B195">
        <f t="shared" si="12"/>
        <v>2026</v>
      </c>
      <c r="C195" t="str">
        <f t="shared" si="13"/>
        <v>jan</v>
      </c>
      <c r="D195" t="str">
        <f t="shared" si="14"/>
        <v>Janeiro</v>
      </c>
      <c r="E195" t="s">
        <v>6</v>
      </c>
      <c r="F195" t="s">
        <v>12</v>
      </c>
      <c r="G195" s="13" t="str">
        <f t="shared" ref="G195:G258" si="15">IF(E195="Receita",IF(H195="Salário","Salário","Outras Receitas"),"")</f>
        <v/>
      </c>
      <c r="H195" t="s">
        <v>246</v>
      </c>
      <c r="I195" s="16">
        <v>50</v>
      </c>
    </row>
    <row r="196" spans="1:9">
      <c r="A196" s="15">
        <v>46039</v>
      </c>
      <c r="B196">
        <f t="shared" si="12"/>
        <v>2026</v>
      </c>
      <c r="C196" t="str">
        <f t="shared" si="13"/>
        <v>jan</v>
      </c>
      <c r="D196" t="str">
        <f t="shared" si="14"/>
        <v>Janeiro</v>
      </c>
      <c r="E196" t="s">
        <v>6</v>
      </c>
      <c r="F196" t="s">
        <v>12</v>
      </c>
      <c r="G196" s="13" t="str">
        <f t="shared" si="15"/>
        <v/>
      </c>
      <c r="H196" t="s">
        <v>210</v>
      </c>
      <c r="I196" s="16">
        <v>127.58</v>
      </c>
    </row>
    <row r="197" spans="1:9">
      <c r="A197" s="15">
        <v>46039</v>
      </c>
      <c r="B197">
        <f t="shared" si="12"/>
        <v>2026</v>
      </c>
      <c r="C197" t="str">
        <f t="shared" si="13"/>
        <v>jan</v>
      </c>
      <c r="D197" t="str">
        <f t="shared" si="14"/>
        <v>Janeiro</v>
      </c>
      <c r="E197" t="s">
        <v>6</v>
      </c>
      <c r="F197" t="s">
        <v>12</v>
      </c>
      <c r="G197" s="13" t="str">
        <f t="shared" si="15"/>
        <v/>
      </c>
      <c r="H197" t="s">
        <v>210</v>
      </c>
      <c r="I197" s="16">
        <v>14.3</v>
      </c>
    </row>
    <row r="198" spans="1:9">
      <c r="A198" s="15">
        <v>46039</v>
      </c>
      <c r="B198">
        <f t="shared" si="12"/>
        <v>2026</v>
      </c>
      <c r="C198" t="str">
        <f t="shared" si="13"/>
        <v>jan</v>
      </c>
      <c r="D198" t="str">
        <f t="shared" si="14"/>
        <v>Janeiro</v>
      </c>
      <c r="E198" t="s">
        <v>6</v>
      </c>
      <c r="F198" t="s">
        <v>204</v>
      </c>
      <c r="G198" s="13" t="str">
        <f t="shared" si="15"/>
        <v/>
      </c>
      <c r="H198" t="s">
        <v>30</v>
      </c>
      <c r="I198" s="16">
        <v>69.3</v>
      </c>
    </row>
    <row r="199" spans="1:9">
      <c r="A199" s="15">
        <v>46040</v>
      </c>
      <c r="B199">
        <f t="shared" si="12"/>
        <v>2026</v>
      </c>
      <c r="C199" t="str">
        <f t="shared" si="13"/>
        <v>jan</v>
      </c>
      <c r="D199" t="str">
        <f t="shared" si="14"/>
        <v>Janeiro</v>
      </c>
      <c r="E199" t="s">
        <v>6</v>
      </c>
      <c r="F199" t="s">
        <v>204</v>
      </c>
      <c r="G199" s="13" t="str">
        <f t="shared" si="15"/>
        <v/>
      </c>
      <c r="H199" t="s">
        <v>30</v>
      </c>
      <c r="I199" s="16">
        <v>101.5</v>
      </c>
    </row>
    <row r="200" spans="1:9">
      <c r="A200" s="15">
        <v>46040</v>
      </c>
      <c r="B200">
        <f t="shared" si="12"/>
        <v>2026</v>
      </c>
      <c r="C200" t="str">
        <f t="shared" si="13"/>
        <v>jan</v>
      </c>
      <c r="D200" t="str">
        <f t="shared" si="14"/>
        <v>Janeiro</v>
      </c>
      <c r="E200" t="s">
        <v>6</v>
      </c>
      <c r="F200" t="s">
        <v>10</v>
      </c>
      <c r="G200" s="13" t="str">
        <f t="shared" si="15"/>
        <v/>
      </c>
      <c r="H200" t="s">
        <v>34</v>
      </c>
      <c r="I200" s="16">
        <v>81.94</v>
      </c>
    </row>
    <row r="201" spans="1:9">
      <c r="A201" s="15">
        <v>46040</v>
      </c>
      <c r="B201">
        <f t="shared" si="12"/>
        <v>2026</v>
      </c>
      <c r="C201" t="str">
        <f t="shared" si="13"/>
        <v>jan</v>
      </c>
      <c r="D201" t="str">
        <f t="shared" si="14"/>
        <v>Janeiro</v>
      </c>
      <c r="E201" t="s">
        <v>6</v>
      </c>
      <c r="F201" t="s">
        <v>12</v>
      </c>
      <c r="G201" s="13" t="str">
        <f t="shared" si="15"/>
        <v/>
      </c>
      <c r="H201" t="s">
        <v>210</v>
      </c>
      <c r="I201" s="16">
        <v>59.89</v>
      </c>
    </row>
    <row r="202" spans="1:9">
      <c r="A202" s="15">
        <v>46041</v>
      </c>
      <c r="B202">
        <f t="shared" si="12"/>
        <v>2026</v>
      </c>
      <c r="C202" t="str">
        <f t="shared" si="13"/>
        <v>jan</v>
      </c>
      <c r="D202" t="str">
        <f t="shared" si="14"/>
        <v>Janeiro</v>
      </c>
      <c r="E202" t="s">
        <v>6</v>
      </c>
      <c r="F202" t="s">
        <v>236</v>
      </c>
      <c r="G202" s="13" t="str">
        <f t="shared" si="15"/>
        <v/>
      </c>
      <c r="H202" t="s">
        <v>237</v>
      </c>
      <c r="I202" s="16">
        <v>120</v>
      </c>
    </row>
    <row r="203" spans="1:9">
      <c r="A203" s="15">
        <v>46041</v>
      </c>
      <c r="B203">
        <f t="shared" si="12"/>
        <v>2026</v>
      </c>
      <c r="C203" t="str">
        <f t="shared" si="13"/>
        <v>jan</v>
      </c>
      <c r="D203" t="str">
        <f t="shared" si="14"/>
        <v>Janeiro</v>
      </c>
      <c r="E203" t="s">
        <v>251</v>
      </c>
      <c r="F203" t="s">
        <v>224</v>
      </c>
      <c r="G203" s="13" t="str">
        <f t="shared" si="15"/>
        <v/>
      </c>
      <c r="H203" t="s">
        <v>225</v>
      </c>
      <c r="I203" s="16">
        <v>0.02</v>
      </c>
    </row>
    <row r="204" spans="1:9">
      <c r="A204" s="15">
        <v>46042</v>
      </c>
      <c r="B204">
        <f t="shared" si="12"/>
        <v>2026</v>
      </c>
      <c r="C204" t="str">
        <f t="shared" si="13"/>
        <v>jan</v>
      </c>
      <c r="D204" t="str">
        <f t="shared" si="14"/>
        <v>Janeiro</v>
      </c>
      <c r="E204" t="s">
        <v>6</v>
      </c>
      <c r="F204" t="s">
        <v>219</v>
      </c>
      <c r="G204" s="13" t="str">
        <f t="shared" si="15"/>
        <v/>
      </c>
      <c r="H204" t="s">
        <v>220</v>
      </c>
      <c r="I204" s="16">
        <v>9.99</v>
      </c>
    </row>
    <row r="205" spans="1:9">
      <c r="A205" s="15">
        <v>46044</v>
      </c>
      <c r="B205">
        <f t="shared" si="12"/>
        <v>2026</v>
      </c>
      <c r="C205" t="str">
        <f t="shared" si="13"/>
        <v>jan</v>
      </c>
      <c r="D205" t="str">
        <f t="shared" si="14"/>
        <v>Janeiro</v>
      </c>
      <c r="E205" t="s">
        <v>6</v>
      </c>
      <c r="F205" t="s">
        <v>204</v>
      </c>
      <c r="G205" s="13" t="str">
        <f t="shared" si="15"/>
        <v/>
      </c>
      <c r="H205" t="s">
        <v>205</v>
      </c>
      <c r="I205" s="16">
        <v>170.58</v>
      </c>
    </row>
    <row r="206" spans="1:9">
      <c r="A206" s="15">
        <v>46045</v>
      </c>
      <c r="B206">
        <f t="shared" si="12"/>
        <v>2026</v>
      </c>
      <c r="C206" t="str">
        <f t="shared" si="13"/>
        <v>jan</v>
      </c>
      <c r="D206" t="str">
        <f t="shared" si="14"/>
        <v>Janeiro</v>
      </c>
      <c r="E206" t="s">
        <v>251</v>
      </c>
      <c r="F206" t="s">
        <v>224</v>
      </c>
      <c r="G206" s="13" t="str">
        <f t="shared" si="15"/>
        <v/>
      </c>
      <c r="H206" t="s">
        <v>225</v>
      </c>
      <c r="I206" s="16">
        <v>6.44</v>
      </c>
    </row>
    <row r="207" spans="1:9">
      <c r="A207" s="15">
        <v>46046</v>
      </c>
      <c r="B207">
        <f t="shared" si="12"/>
        <v>2026</v>
      </c>
      <c r="C207" t="str">
        <f t="shared" si="13"/>
        <v>jan</v>
      </c>
      <c r="D207" t="str">
        <f t="shared" si="14"/>
        <v>Janeiro</v>
      </c>
      <c r="E207" t="s">
        <v>6</v>
      </c>
      <c r="F207" t="s">
        <v>204</v>
      </c>
      <c r="G207" s="13" t="str">
        <f t="shared" si="15"/>
        <v/>
      </c>
      <c r="H207" t="s">
        <v>30</v>
      </c>
      <c r="I207" s="16">
        <v>95.7</v>
      </c>
    </row>
    <row r="208" spans="1:9">
      <c r="A208" s="15">
        <v>46046</v>
      </c>
      <c r="B208">
        <f t="shared" si="12"/>
        <v>2026</v>
      </c>
      <c r="C208" t="str">
        <f t="shared" si="13"/>
        <v>jan</v>
      </c>
      <c r="D208" t="str">
        <f t="shared" si="14"/>
        <v>Janeiro</v>
      </c>
      <c r="E208" t="s">
        <v>6</v>
      </c>
      <c r="F208" t="s">
        <v>204</v>
      </c>
      <c r="G208" s="13" t="str">
        <f t="shared" si="15"/>
        <v/>
      </c>
      <c r="H208" t="s">
        <v>22</v>
      </c>
      <c r="I208" s="16">
        <v>501.74</v>
      </c>
    </row>
    <row r="209" spans="1:9">
      <c r="A209" s="15">
        <v>46048</v>
      </c>
      <c r="B209">
        <f t="shared" si="12"/>
        <v>2026</v>
      </c>
      <c r="C209" t="str">
        <f t="shared" si="13"/>
        <v>jan</v>
      </c>
      <c r="D209" t="str">
        <f t="shared" si="14"/>
        <v>Janeiro</v>
      </c>
      <c r="E209" t="s">
        <v>5</v>
      </c>
      <c r="F209" t="s">
        <v>12</v>
      </c>
      <c r="G209" s="13" t="str">
        <f t="shared" si="15"/>
        <v>Outras Receitas</v>
      </c>
      <c r="H209" t="s">
        <v>246</v>
      </c>
      <c r="I209" s="16">
        <v>71.67</v>
      </c>
    </row>
    <row r="210" spans="1:9">
      <c r="A210" s="15">
        <v>46048</v>
      </c>
      <c r="B210">
        <f t="shared" si="12"/>
        <v>2026</v>
      </c>
      <c r="C210" t="str">
        <f t="shared" si="13"/>
        <v>jan</v>
      </c>
      <c r="D210" t="str">
        <f t="shared" si="14"/>
        <v>Janeiro</v>
      </c>
      <c r="E210" t="s">
        <v>5</v>
      </c>
      <c r="F210" t="s">
        <v>12</v>
      </c>
      <c r="G210" s="13" t="str">
        <f t="shared" si="15"/>
        <v>Outras Receitas</v>
      </c>
      <c r="H210" t="s">
        <v>246</v>
      </c>
      <c r="I210" s="16">
        <v>72</v>
      </c>
    </row>
    <row r="211" spans="1:9">
      <c r="A211" s="15">
        <v>46048</v>
      </c>
      <c r="B211">
        <f t="shared" si="12"/>
        <v>2026</v>
      </c>
      <c r="C211" t="str">
        <f t="shared" si="13"/>
        <v>jan</v>
      </c>
      <c r="D211" t="str">
        <f t="shared" si="14"/>
        <v>Janeiro</v>
      </c>
      <c r="E211" t="s">
        <v>5</v>
      </c>
      <c r="F211" t="s">
        <v>12</v>
      </c>
      <c r="G211" s="13" t="str">
        <f t="shared" si="15"/>
        <v>Outras Receitas</v>
      </c>
      <c r="H211" t="s">
        <v>246</v>
      </c>
      <c r="I211" s="16">
        <v>71.67</v>
      </c>
    </row>
    <row r="212" spans="1:9">
      <c r="A212" s="15">
        <v>46048</v>
      </c>
      <c r="B212">
        <f t="shared" si="12"/>
        <v>2026</v>
      </c>
      <c r="C212" t="str">
        <f t="shared" si="13"/>
        <v>jan</v>
      </c>
      <c r="D212" t="str">
        <f t="shared" si="14"/>
        <v>Janeiro</v>
      </c>
      <c r="E212" t="s">
        <v>5</v>
      </c>
      <c r="F212" t="s">
        <v>12</v>
      </c>
      <c r="G212" s="13" t="str">
        <f t="shared" si="15"/>
        <v>Outras Receitas</v>
      </c>
      <c r="H212" t="s">
        <v>246</v>
      </c>
      <c r="I212" s="16">
        <v>71.67</v>
      </c>
    </row>
    <row r="213" spans="1:9">
      <c r="A213" s="15">
        <v>46051</v>
      </c>
      <c r="B213">
        <f t="shared" si="12"/>
        <v>2026</v>
      </c>
      <c r="C213" t="str">
        <f t="shared" si="13"/>
        <v>jan</v>
      </c>
      <c r="D213" t="str">
        <f t="shared" si="14"/>
        <v>Janeiro</v>
      </c>
      <c r="E213" t="s">
        <v>5</v>
      </c>
      <c r="F213" t="s">
        <v>201</v>
      </c>
      <c r="G213" s="13" t="str">
        <f t="shared" si="15"/>
        <v>Salário</v>
      </c>
      <c r="H213" t="s">
        <v>7</v>
      </c>
      <c r="I213" s="16">
        <v>5208.1499999999996</v>
      </c>
    </row>
    <row r="214" spans="1:9">
      <c r="A214" s="15">
        <v>46051</v>
      </c>
      <c r="B214">
        <f t="shared" si="12"/>
        <v>2026</v>
      </c>
      <c r="C214" t="str">
        <f t="shared" si="13"/>
        <v>jan</v>
      </c>
      <c r="D214" t="str">
        <f t="shared" si="14"/>
        <v>Janeiro</v>
      </c>
      <c r="E214" t="s">
        <v>251</v>
      </c>
      <c r="F214" t="s">
        <v>224</v>
      </c>
      <c r="G214" s="13" t="str">
        <f t="shared" si="15"/>
        <v/>
      </c>
      <c r="H214" t="s">
        <v>239</v>
      </c>
      <c r="I214" s="16">
        <v>252</v>
      </c>
    </row>
    <row r="215" spans="1:9">
      <c r="A215" s="15">
        <v>46051</v>
      </c>
      <c r="B215">
        <f t="shared" si="12"/>
        <v>2026</v>
      </c>
      <c r="C215" t="str">
        <f t="shared" si="13"/>
        <v>jan</v>
      </c>
      <c r="D215" t="str">
        <f t="shared" si="14"/>
        <v>Janeiro</v>
      </c>
      <c r="E215" t="s">
        <v>6</v>
      </c>
      <c r="F215" t="s">
        <v>204</v>
      </c>
      <c r="G215" s="13" t="str">
        <f t="shared" si="15"/>
        <v/>
      </c>
      <c r="H215" t="s">
        <v>214</v>
      </c>
      <c r="I215" s="16">
        <v>7.5</v>
      </c>
    </row>
    <row r="216" spans="1:9">
      <c r="A216" s="15">
        <v>46052</v>
      </c>
      <c r="B216">
        <f t="shared" si="12"/>
        <v>2026</v>
      </c>
      <c r="C216" t="str">
        <f t="shared" si="13"/>
        <v>jan</v>
      </c>
      <c r="D216" t="str">
        <f t="shared" si="14"/>
        <v>Janeiro</v>
      </c>
      <c r="E216" t="s">
        <v>6</v>
      </c>
      <c r="F216" t="s">
        <v>12</v>
      </c>
      <c r="G216" s="13" t="str">
        <f t="shared" si="15"/>
        <v/>
      </c>
      <c r="H216" t="s">
        <v>246</v>
      </c>
      <c r="I216" s="16">
        <v>10</v>
      </c>
    </row>
    <row r="217" spans="1:9">
      <c r="A217" s="15">
        <v>46052</v>
      </c>
      <c r="B217">
        <f t="shared" si="12"/>
        <v>2026</v>
      </c>
      <c r="C217" t="str">
        <f t="shared" si="13"/>
        <v>jan</v>
      </c>
      <c r="D217" t="str">
        <f t="shared" si="14"/>
        <v>Janeiro</v>
      </c>
      <c r="E217" t="s">
        <v>6</v>
      </c>
      <c r="F217" t="s">
        <v>204</v>
      </c>
      <c r="G217" s="13" t="str">
        <f t="shared" si="15"/>
        <v/>
      </c>
      <c r="H217" t="s">
        <v>30</v>
      </c>
      <c r="I217" s="16">
        <v>318.49</v>
      </c>
    </row>
    <row r="218" spans="1:9">
      <c r="A218" s="15">
        <v>46055</v>
      </c>
      <c r="B218">
        <f t="shared" si="12"/>
        <v>2026</v>
      </c>
      <c r="C218" t="str">
        <f t="shared" si="13"/>
        <v>fev</v>
      </c>
      <c r="D218" t="str">
        <f t="shared" si="14"/>
        <v>Fevereiro</v>
      </c>
      <c r="E218" t="s">
        <v>6</v>
      </c>
      <c r="F218" t="s">
        <v>206</v>
      </c>
      <c r="G218" s="13" t="str">
        <f t="shared" si="15"/>
        <v/>
      </c>
      <c r="H218" t="s">
        <v>207</v>
      </c>
      <c r="I218" s="16">
        <v>99.9</v>
      </c>
    </row>
    <row r="219" spans="1:9">
      <c r="A219" s="15">
        <v>46055</v>
      </c>
      <c r="B219">
        <f t="shared" si="12"/>
        <v>2026</v>
      </c>
      <c r="C219" t="str">
        <f t="shared" si="13"/>
        <v>fev</v>
      </c>
      <c r="D219" t="str">
        <f t="shared" si="14"/>
        <v>Fevereiro</v>
      </c>
      <c r="E219" t="s">
        <v>251</v>
      </c>
      <c r="F219" t="s">
        <v>224</v>
      </c>
      <c r="G219" s="13" t="str">
        <f t="shared" si="15"/>
        <v/>
      </c>
      <c r="H219" t="s">
        <v>225</v>
      </c>
      <c r="I219" s="16">
        <v>0.55000000000000004</v>
      </c>
    </row>
    <row r="220" spans="1:9">
      <c r="A220" s="15">
        <v>46056</v>
      </c>
      <c r="B220">
        <f t="shared" si="12"/>
        <v>2026</v>
      </c>
      <c r="C220" t="str">
        <f t="shared" si="13"/>
        <v>fev</v>
      </c>
      <c r="D220" t="str">
        <f t="shared" si="14"/>
        <v>Fevereiro</v>
      </c>
      <c r="E220" t="s">
        <v>6</v>
      </c>
      <c r="F220" t="s">
        <v>206</v>
      </c>
      <c r="G220" s="13" t="str">
        <f t="shared" si="15"/>
        <v/>
      </c>
      <c r="H220" t="s">
        <v>208</v>
      </c>
      <c r="I220" s="16">
        <v>80</v>
      </c>
    </row>
    <row r="221" spans="1:9">
      <c r="A221" s="15">
        <v>46056</v>
      </c>
      <c r="B221">
        <f t="shared" si="12"/>
        <v>2026</v>
      </c>
      <c r="C221" t="str">
        <f t="shared" si="13"/>
        <v>fev</v>
      </c>
      <c r="D221" t="str">
        <f t="shared" si="14"/>
        <v>Fevereiro</v>
      </c>
      <c r="E221" t="s">
        <v>6</v>
      </c>
      <c r="F221" t="s">
        <v>219</v>
      </c>
      <c r="G221" s="13" t="str">
        <f t="shared" si="15"/>
        <v/>
      </c>
      <c r="H221" t="s">
        <v>155</v>
      </c>
      <c r="I221" s="16">
        <v>3.5</v>
      </c>
    </row>
    <row r="222" spans="1:9">
      <c r="A222" s="15">
        <v>46056</v>
      </c>
      <c r="B222">
        <f t="shared" si="12"/>
        <v>2026</v>
      </c>
      <c r="C222" t="str">
        <f t="shared" si="13"/>
        <v>fev</v>
      </c>
      <c r="D222" t="str">
        <f t="shared" si="14"/>
        <v>Fevereiro</v>
      </c>
      <c r="E222" t="s">
        <v>251</v>
      </c>
      <c r="F222" t="s">
        <v>224</v>
      </c>
      <c r="G222" s="13" t="str">
        <f t="shared" si="15"/>
        <v/>
      </c>
      <c r="H222" t="s">
        <v>225</v>
      </c>
      <c r="I222" s="16">
        <v>0.01</v>
      </c>
    </row>
    <row r="223" spans="1:9">
      <c r="A223" s="15">
        <v>46056</v>
      </c>
      <c r="B223">
        <f t="shared" si="12"/>
        <v>2026</v>
      </c>
      <c r="C223" t="str">
        <f t="shared" si="13"/>
        <v>fev</v>
      </c>
      <c r="D223" t="str">
        <f t="shared" si="14"/>
        <v>Fevereiro</v>
      </c>
      <c r="E223" t="s">
        <v>6</v>
      </c>
      <c r="F223" t="s">
        <v>12</v>
      </c>
      <c r="G223" s="13" t="str">
        <f t="shared" si="15"/>
        <v/>
      </c>
      <c r="H223" t="s">
        <v>246</v>
      </c>
      <c r="I223" s="16">
        <v>710</v>
      </c>
    </row>
    <row r="224" spans="1:9">
      <c r="A224" s="15">
        <v>46057</v>
      </c>
      <c r="B224">
        <f t="shared" si="12"/>
        <v>2026</v>
      </c>
      <c r="C224" t="str">
        <f t="shared" si="13"/>
        <v>fev</v>
      </c>
      <c r="D224" t="str">
        <f t="shared" si="14"/>
        <v>Fevereiro</v>
      </c>
      <c r="E224" t="s">
        <v>5</v>
      </c>
      <c r="F224" t="s">
        <v>12</v>
      </c>
      <c r="G224" s="13" t="str">
        <f t="shared" si="15"/>
        <v>Outras Receitas</v>
      </c>
      <c r="H224" t="s">
        <v>246</v>
      </c>
      <c r="I224" s="16">
        <v>370</v>
      </c>
    </row>
    <row r="225" spans="1:9">
      <c r="A225" s="15">
        <v>46057</v>
      </c>
      <c r="B225">
        <f t="shared" si="12"/>
        <v>2026</v>
      </c>
      <c r="C225" t="str">
        <f t="shared" si="13"/>
        <v>fev</v>
      </c>
      <c r="D225" t="str">
        <f t="shared" si="14"/>
        <v>Fevereiro</v>
      </c>
      <c r="E225" t="s">
        <v>5</v>
      </c>
      <c r="F225" t="s">
        <v>12</v>
      </c>
      <c r="G225" s="13" t="str">
        <f t="shared" si="15"/>
        <v>Outras Receitas</v>
      </c>
      <c r="H225" t="s">
        <v>246</v>
      </c>
      <c r="I225" s="16">
        <v>370</v>
      </c>
    </row>
    <row r="226" spans="1:9">
      <c r="A226" s="15">
        <v>46058</v>
      </c>
      <c r="B226">
        <f t="shared" si="12"/>
        <v>2026</v>
      </c>
      <c r="C226" t="str">
        <f t="shared" si="13"/>
        <v>fev</v>
      </c>
      <c r="D226" t="str">
        <f t="shared" si="14"/>
        <v>Fevereiro</v>
      </c>
      <c r="E226" t="s">
        <v>6</v>
      </c>
      <c r="F226" t="s">
        <v>222</v>
      </c>
      <c r="G226" s="13" t="str">
        <f t="shared" si="15"/>
        <v/>
      </c>
      <c r="H226" t="s">
        <v>215</v>
      </c>
      <c r="I226" s="16">
        <v>19.989999999999998</v>
      </c>
    </row>
    <row r="227" spans="1:9">
      <c r="A227" s="15">
        <v>46058</v>
      </c>
      <c r="B227">
        <f t="shared" si="12"/>
        <v>2026</v>
      </c>
      <c r="C227" t="str">
        <f t="shared" si="13"/>
        <v>fev</v>
      </c>
      <c r="D227" t="str">
        <f t="shared" si="14"/>
        <v>Fevereiro</v>
      </c>
      <c r="E227" t="s">
        <v>6</v>
      </c>
      <c r="F227" t="s">
        <v>204</v>
      </c>
      <c r="G227" s="13" t="str">
        <f t="shared" si="15"/>
        <v/>
      </c>
      <c r="H227" t="s">
        <v>214</v>
      </c>
      <c r="I227" s="16">
        <v>100</v>
      </c>
    </row>
    <row r="228" spans="1:9">
      <c r="A228" s="15">
        <v>46059</v>
      </c>
      <c r="B228">
        <f t="shared" si="12"/>
        <v>2026</v>
      </c>
      <c r="C228" t="str">
        <f t="shared" si="13"/>
        <v>fev</v>
      </c>
      <c r="D228" t="str">
        <f t="shared" si="14"/>
        <v>Fevereiro</v>
      </c>
      <c r="E228" t="s">
        <v>251</v>
      </c>
      <c r="F228" t="s">
        <v>224</v>
      </c>
      <c r="G228" s="13" t="str">
        <f t="shared" si="15"/>
        <v/>
      </c>
      <c r="H228" t="s">
        <v>225</v>
      </c>
      <c r="I228" s="16">
        <v>4.05</v>
      </c>
    </row>
    <row r="229" spans="1:9">
      <c r="A229" s="15">
        <v>46059</v>
      </c>
      <c r="B229">
        <f t="shared" si="12"/>
        <v>2026</v>
      </c>
      <c r="C229" t="str">
        <f t="shared" si="13"/>
        <v>fev</v>
      </c>
      <c r="D229" t="str">
        <f t="shared" si="14"/>
        <v>Fevereiro</v>
      </c>
      <c r="E229" t="s">
        <v>251</v>
      </c>
      <c r="F229" t="s">
        <v>224</v>
      </c>
      <c r="G229" s="13" t="str">
        <f t="shared" si="15"/>
        <v/>
      </c>
      <c r="H229" t="s">
        <v>225</v>
      </c>
      <c r="I229" s="16">
        <v>0.01</v>
      </c>
    </row>
    <row r="230" spans="1:9">
      <c r="A230" s="15">
        <v>46059</v>
      </c>
      <c r="B230">
        <f t="shared" si="12"/>
        <v>2026</v>
      </c>
      <c r="C230" t="str">
        <f t="shared" si="13"/>
        <v>fev</v>
      </c>
      <c r="D230" t="str">
        <f t="shared" si="14"/>
        <v>Fevereiro</v>
      </c>
      <c r="E230" t="s">
        <v>6</v>
      </c>
      <c r="F230" t="s">
        <v>12</v>
      </c>
      <c r="G230" s="13" t="str">
        <f t="shared" si="15"/>
        <v/>
      </c>
      <c r="H230" t="s">
        <v>35</v>
      </c>
      <c r="I230" s="16">
        <v>250</v>
      </c>
    </row>
    <row r="231" spans="1:9">
      <c r="A231" s="15">
        <v>46059</v>
      </c>
      <c r="B231">
        <f t="shared" si="12"/>
        <v>2026</v>
      </c>
      <c r="C231" t="str">
        <f t="shared" si="13"/>
        <v>fev</v>
      </c>
      <c r="D231" t="str">
        <f t="shared" si="14"/>
        <v>Fevereiro</v>
      </c>
      <c r="E231" t="s">
        <v>6</v>
      </c>
      <c r="F231" t="s">
        <v>12</v>
      </c>
      <c r="G231" s="13" t="str">
        <f t="shared" si="15"/>
        <v/>
      </c>
      <c r="H231" t="s">
        <v>228</v>
      </c>
      <c r="I231" s="16">
        <v>60</v>
      </c>
    </row>
    <row r="232" spans="1:9">
      <c r="A232" s="15">
        <v>46060</v>
      </c>
      <c r="B232">
        <f t="shared" si="12"/>
        <v>2026</v>
      </c>
      <c r="C232" t="str">
        <f t="shared" si="13"/>
        <v>fev</v>
      </c>
      <c r="D232" t="str">
        <f t="shared" si="14"/>
        <v>Fevereiro</v>
      </c>
      <c r="E232" t="s">
        <v>6</v>
      </c>
      <c r="F232" t="s">
        <v>204</v>
      </c>
      <c r="G232" s="13" t="str">
        <f t="shared" si="15"/>
        <v/>
      </c>
      <c r="H232" t="s">
        <v>30</v>
      </c>
      <c r="I232" s="16">
        <v>277.33999999999997</v>
      </c>
    </row>
    <row r="233" spans="1:9">
      <c r="A233" s="15">
        <v>46060</v>
      </c>
      <c r="B233">
        <f t="shared" si="12"/>
        <v>2026</v>
      </c>
      <c r="C233" t="str">
        <f t="shared" si="13"/>
        <v>fev</v>
      </c>
      <c r="D233" t="str">
        <f t="shared" si="14"/>
        <v>Fevereiro</v>
      </c>
      <c r="E233" t="s">
        <v>6</v>
      </c>
      <c r="F233" t="s">
        <v>10</v>
      </c>
      <c r="G233" s="13" t="str">
        <f t="shared" si="15"/>
        <v/>
      </c>
      <c r="H233" t="s">
        <v>34</v>
      </c>
      <c r="I233" s="16">
        <v>74.94</v>
      </c>
    </row>
    <row r="234" spans="1:9">
      <c r="A234" s="15">
        <v>46062</v>
      </c>
      <c r="B234">
        <f t="shared" si="12"/>
        <v>2026</v>
      </c>
      <c r="C234" t="str">
        <f t="shared" si="13"/>
        <v>fev</v>
      </c>
      <c r="D234" t="str">
        <f t="shared" si="14"/>
        <v>Fevereiro</v>
      </c>
      <c r="E234" t="s">
        <v>5</v>
      </c>
      <c r="F234" t="s">
        <v>201</v>
      </c>
      <c r="G234" s="13" t="str">
        <f t="shared" si="15"/>
        <v>Outras Receitas</v>
      </c>
      <c r="H234" t="s">
        <v>186</v>
      </c>
      <c r="I234" s="16">
        <v>924</v>
      </c>
    </row>
    <row r="235" spans="1:9">
      <c r="A235" s="15">
        <v>46062</v>
      </c>
      <c r="B235">
        <f t="shared" si="12"/>
        <v>2026</v>
      </c>
      <c r="C235" t="str">
        <f t="shared" si="13"/>
        <v>fev</v>
      </c>
      <c r="D235" t="str">
        <f t="shared" si="14"/>
        <v>Fevereiro</v>
      </c>
      <c r="E235" t="s">
        <v>6</v>
      </c>
      <c r="F235" t="s">
        <v>12</v>
      </c>
      <c r="G235" s="13" t="str">
        <f t="shared" si="15"/>
        <v/>
      </c>
      <c r="H235" t="s">
        <v>247</v>
      </c>
      <c r="I235" s="16">
        <v>59.3</v>
      </c>
    </row>
    <row r="236" spans="1:9">
      <c r="A236" s="15">
        <v>46063</v>
      </c>
      <c r="B236">
        <f t="shared" si="12"/>
        <v>2026</v>
      </c>
      <c r="C236" t="str">
        <f t="shared" si="13"/>
        <v>fev</v>
      </c>
      <c r="D236" t="str">
        <f t="shared" si="14"/>
        <v>Fevereiro</v>
      </c>
      <c r="E236" t="s">
        <v>251</v>
      </c>
      <c r="F236" t="s">
        <v>224</v>
      </c>
      <c r="G236" s="13" t="str">
        <f t="shared" si="15"/>
        <v/>
      </c>
      <c r="H236" t="s">
        <v>225</v>
      </c>
      <c r="I236" s="16">
        <v>0.17</v>
      </c>
    </row>
    <row r="237" spans="1:9">
      <c r="A237" s="15">
        <v>46063</v>
      </c>
      <c r="B237">
        <f t="shared" si="12"/>
        <v>2026</v>
      </c>
      <c r="C237" t="str">
        <f t="shared" si="13"/>
        <v>fev</v>
      </c>
      <c r="D237" t="str">
        <f t="shared" si="14"/>
        <v>Fevereiro</v>
      </c>
      <c r="E237" t="s">
        <v>251</v>
      </c>
      <c r="F237" t="s">
        <v>9</v>
      </c>
      <c r="G237" s="13" t="str">
        <f t="shared" si="15"/>
        <v/>
      </c>
      <c r="H237" t="s">
        <v>218</v>
      </c>
      <c r="I237" s="16">
        <v>2355.2399999999998</v>
      </c>
    </row>
    <row r="238" spans="1:9">
      <c r="A238" s="15">
        <v>46063</v>
      </c>
      <c r="B238">
        <f t="shared" si="12"/>
        <v>2026</v>
      </c>
      <c r="C238" t="str">
        <f t="shared" si="13"/>
        <v>fev</v>
      </c>
      <c r="D238" t="str">
        <f t="shared" si="14"/>
        <v>Fevereiro</v>
      </c>
      <c r="E238" t="s">
        <v>6</v>
      </c>
      <c r="F238" t="s">
        <v>219</v>
      </c>
      <c r="G238" s="13" t="str">
        <f t="shared" si="15"/>
        <v/>
      </c>
      <c r="H238" t="s">
        <v>221</v>
      </c>
      <c r="I238" s="16">
        <v>89.99</v>
      </c>
    </row>
    <row r="239" spans="1:9">
      <c r="A239" s="15">
        <v>46064</v>
      </c>
      <c r="B239">
        <f t="shared" si="12"/>
        <v>2026</v>
      </c>
      <c r="C239" t="str">
        <f t="shared" si="13"/>
        <v>fev</v>
      </c>
      <c r="D239" t="str">
        <f t="shared" si="14"/>
        <v>Fevereiro</v>
      </c>
      <c r="E239" t="s">
        <v>251</v>
      </c>
      <c r="F239" t="s">
        <v>224</v>
      </c>
      <c r="G239" s="13" t="str">
        <f t="shared" si="15"/>
        <v/>
      </c>
      <c r="H239" t="s">
        <v>225</v>
      </c>
      <c r="I239" s="16">
        <v>0.01</v>
      </c>
    </row>
    <row r="240" spans="1:9">
      <c r="A240" s="15">
        <v>46064</v>
      </c>
      <c r="B240">
        <f t="shared" si="12"/>
        <v>2026</v>
      </c>
      <c r="C240" t="str">
        <f t="shared" si="13"/>
        <v>fev</v>
      </c>
      <c r="D240" t="str">
        <f t="shared" si="14"/>
        <v>Fevereiro</v>
      </c>
      <c r="E240" t="s">
        <v>251</v>
      </c>
      <c r="F240" t="s">
        <v>224</v>
      </c>
      <c r="G240" s="13" t="str">
        <f t="shared" si="15"/>
        <v/>
      </c>
      <c r="H240" t="s">
        <v>241</v>
      </c>
      <c r="I240" s="16">
        <v>500</v>
      </c>
    </row>
    <row r="241" spans="1:9">
      <c r="A241" s="15">
        <v>46065</v>
      </c>
      <c r="B241">
        <f t="shared" si="12"/>
        <v>2026</v>
      </c>
      <c r="C241" t="str">
        <f t="shared" si="13"/>
        <v>fev</v>
      </c>
      <c r="D241" t="str">
        <f t="shared" si="14"/>
        <v>Fevereiro</v>
      </c>
      <c r="E241" t="s">
        <v>6</v>
      </c>
      <c r="F241" t="s">
        <v>12</v>
      </c>
      <c r="G241" s="13" t="str">
        <f t="shared" si="15"/>
        <v/>
      </c>
      <c r="H241" t="s">
        <v>247</v>
      </c>
      <c r="I241" s="16">
        <v>31.5</v>
      </c>
    </row>
    <row r="242" spans="1:9">
      <c r="A242" s="15">
        <v>46065</v>
      </c>
      <c r="B242">
        <f t="shared" si="12"/>
        <v>2026</v>
      </c>
      <c r="C242" t="str">
        <f t="shared" si="13"/>
        <v>fev</v>
      </c>
      <c r="D242" t="str">
        <f t="shared" si="14"/>
        <v>Fevereiro</v>
      </c>
      <c r="E242" t="s">
        <v>6</v>
      </c>
      <c r="F242" t="s">
        <v>238</v>
      </c>
      <c r="G242" s="13" t="str">
        <f t="shared" si="15"/>
        <v/>
      </c>
      <c r="H242" t="s">
        <v>24</v>
      </c>
      <c r="I242" s="16">
        <v>19.989999999999998</v>
      </c>
    </row>
    <row r="243" spans="1:9">
      <c r="A243" s="15">
        <v>46066</v>
      </c>
      <c r="B243">
        <f t="shared" si="12"/>
        <v>2026</v>
      </c>
      <c r="C243" t="str">
        <f t="shared" si="13"/>
        <v>fev</v>
      </c>
      <c r="D243" t="str">
        <f t="shared" si="14"/>
        <v>Fevereiro</v>
      </c>
      <c r="E243" t="s">
        <v>6</v>
      </c>
      <c r="F243" t="s">
        <v>219</v>
      </c>
      <c r="G243" s="13" t="str">
        <f t="shared" si="15"/>
        <v/>
      </c>
      <c r="H243" t="s">
        <v>220</v>
      </c>
      <c r="I243" s="16">
        <v>9.99</v>
      </c>
    </row>
    <row r="244" spans="1:9">
      <c r="A244" s="15">
        <v>46067</v>
      </c>
      <c r="B244">
        <f t="shared" si="12"/>
        <v>2026</v>
      </c>
      <c r="C244" t="str">
        <f t="shared" si="13"/>
        <v>fev</v>
      </c>
      <c r="D244" t="str">
        <f t="shared" si="14"/>
        <v>Fevereiro</v>
      </c>
      <c r="E244" t="s">
        <v>6</v>
      </c>
      <c r="F244" t="s">
        <v>12</v>
      </c>
      <c r="G244" s="13" t="str">
        <f t="shared" si="15"/>
        <v/>
      </c>
      <c r="H244" t="s">
        <v>211</v>
      </c>
      <c r="I244" s="16">
        <v>144.91999999999999</v>
      </c>
    </row>
    <row r="245" spans="1:9">
      <c r="A245" s="15">
        <v>46067</v>
      </c>
      <c r="B245">
        <f t="shared" si="12"/>
        <v>2026</v>
      </c>
      <c r="C245" t="str">
        <f t="shared" si="13"/>
        <v>fev</v>
      </c>
      <c r="D245" t="str">
        <f t="shared" si="14"/>
        <v>Fevereiro</v>
      </c>
      <c r="E245" t="s">
        <v>6</v>
      </c>
      <c r="F245" t="s">
        <v>12</v>
      </c>
      <c r="G245" s="13" t="str">
        <f t="shared" si="15"/>
        <v/>
      </c>
      <c r="H245" t="s">
        <v>210</v>
      </c>
      <c r="I245" s="16">
        <v>123.2</v>
      </c>
    </row>
    <row r="246" spans="1:9">
      <c r="A246" s="15">
        <v>46067</v>
      </c>
      <c r="B246">
        <f t="shared" si="12"/>
        <v>2026</v>
      </c>
      <c r="C246" t="str">
        <f t="shared" si="13"/>
        <v>fev</v>
      </c>
      <c r="D246" t="str">
        <f t="shared" si="14"/>
        <v>Fevereiro</v>
      </c>
      <c r="E246" t="s">
        <v>6</v>
      </c>
      <c r="F246" t="s">
        <v>204</v>
      </c>
      <c r="G246" s="13" t="str">
        <f t="shared" si="15"/>
        <v/>
      </c>
      <c r="H246" t="s">
        <v>30</v>
      </c>
      <c r="I246" s="16">
        <v>87.8</v>
      </c>
    </row>
    <row r="247" spans="1:9">
      <c r="A247" s="15">
        <v>46067</v>
      </c>
      <c r="B247">
        <f t="shared" si="12"/>
        <v>2026</v>
      </c>
      <c r="C247" t="str">
        <f t="shared" si="13"/>
        <v>fev</v>
      </c>
      <c r="D247" t="str">
        <f t="shared" si="14"/>
        <v>Fevereiro</v>
      </c>
      <c r="E247" t="s">
        <v>6</v>
      </c>
      <c r="F247" t="s">
        <v>10</v>
      </c>
      <c r="G247" s="13" t="str">
        <f t="shared" si="15"/>
        <v/>
      </c>
      <c r="H247" t="s">
        <v>34</v>
      </c>
      <c r="I247" s="16">
        <v>65.930000000000007</v>
      </c>
    </row>
    <row r="248" spans="1:9">
      <c r="A248" s="15">
        <v>46067</v>
      </c>
      <c r="B248">
        <f t="shared" si="12"/>
        <v>2026</v>
      </c>
      <c r="C248" t="str">
        <f t="shared" si="13"/>
        <v>fev</v>
      </c>
      <c r="D248" t="str">
        <f t="shared" si="14"/>
        <v>Fevereiro</v>
      </c>
      <c r="E248" t="s">
        <v>6</v>
      </c>
      <c r="F248" t="s">
        <v>10</v>
      </c>
      <c r="G248" s="13" t="str">
        <f t="shared" si="15"/>
        <v/>
      </c>
      <c r="H248" t="s">
        <v>34</v>
      </c>
      <c r="I248" s="16">
        <v>43.07</v>
      </c>
    </row>
    <row r="249" spans="1:9">
      <c r="A249" s="15">
        <v>46068</v>
      </c>
      <c r="B249">
        <f t="shared" si="12"/>
        <v>2026</v>
      </c>
      <c r="C249" t="str">
        <f t="shared" si="13"/>
        <v>fev</v>
      </c>
      <c r="D249" t="str">
        <f t="shared" si="14"/>
        <v>Fevereiro</v>
      </c>
      <c r="E249" t="s">
        <v>6</v>
      </c>
      <c r="F249" t="s">
        <v>12</v>
      </c>
      <c r="G249" s="13" t="str">
        <f t="shared" si="15"/>
        <v/>
      </c>
      <c r="H249" t="s">
        <v>246</v>
      </c>
      <c r="I249" s="16">
        <v>46</v>
      </c>
    </row>
    <row r="250" spans="1:9">
      <c r="A250" s="15">
        <v>46068</v>
      </c>
      <c r="B250">
        <f t="shared" ref="B250:B264" si="16">YEAR(A250)</f>
        <v>2026</v>
      </c>
      <c r="C250" t="str">
        <f t="shared" ref="C250:C264" si="17">TEXT(A250,"mmm")</f>
        <v>fev</v>
      </c>
      <c r="D250" t="str">
        <f t="shared" ref="D250:D264" si="18">PROPER(TEXT(A250,"Mmmm"))</f>
        <v>Fevereiro</v>
      </c>
      <c r="E250" t="s">
        <v>6</v>
      </c>
      <c r="F250" t="s">
        <v>12</v>
      </c>
      <c r="G250" s="13" t="str">
        <f t="shared" si="15"/>
        <v/>
      </c>
      <c r="H250" t="s">
        <v>246</v>
      </c>
      <c r="I250" s="16">
        <v>12</v>
      </c>
    </row>
    <row r="251" spans="1:9">
      <c r="A251" s="15">
        <v>46068</v>
      </c>
      <c r="B251">
        <f t="shared" si="16"/>
        <v>2026</v>
      </c>
      <c r="C251" t="str">
        <f t="shared" si="17"/>
        <v>fev</v>
      </c>
      <c r="D251" t="str">
        <f t="shared" si="18"/>
        <v>Fevereiro</v>
      </c>
      <c r="E251" t="s">
        <v>6</v>
      </c>
      <c r="F251" t="s">
        <v>12</v>
      </c>
      <c r="G251" s="13" t="str">
        <f t="shared" si="15"/>
        <v/>
      </c>
      <c r="H251" t="s">
        <v>246</v>
      </c>
      <c r="I251" s="16">
        <v>50</v>
      </c>
    </row>
    <row r="252" spans="1:9">
      <c r="A252" s="15">
        <v>46068</v>
      </c>
      <c r="B252">
        <f t="shared" si="16"/>
        <v>2026</v>
      </c>
      <c r="C252" t="str">
        <f t="shared" si="17"/>
        <v>fev</v>
      </c>
      <c r="D252" t="str">
        <f t="shared" si="18"/>
        <v>Fevereiro</v>
      </c>
      <c r="E252" t="s">
        <v>6</v>
      </c>
      <c r="F252" t="s">
        <v>12</v>
      </c>
      <c r="G252" s="13" t="str">
        <f t="shared" si="15"/>
        <v/>
      </c>
      <c r="H252" t="s">
        <v>246</v>
      </c>
      <c r="I252" s="16">
        <v>16.97</v>
      </c>
    </row>
    <row r="253" spans="1:9">
      <c r="A253" s="15">
        <v>46068</v>
      </c>
      <c r="B253">
        <f t="shared" si="16"/>
        <v>2026</v>
      </c>
      <c r="C253" t="str">
        <f t="shared" si="17"/>
        <v>fev</v>
      </c>
      <c r="D253" t="str">
        <f t="shared" si="18"/>
        <v>Fevereiro</v>
      </c>
      <c r="E253" t="s">
        <v>6</v>
      </c>
      <c r="F253" t="s">
        <v>12</v>
      </c>
      <c r="G253" s="13" t="str">
        <f t="shared" si="15"/>
        <v/>
      </c>
      <c r="H253" t="s">
        <v>246</v>
      </c>
      <c r="I253" s="16">
        <v>78</v>
      </c>
    </row>
    <row r="254" spans="1:9">
      <c r="A254" s="15">
        <v>46068</v>
      </c>
      <c r="B254">
        <f t="shared" si="16"/>
        <v>2026</v>
      </c>
      <c r="C254" t="str">
        <f t="shared" si="17"/>
        <v>fev</v>
      </c>
      <c r="D254" t="str">
        <f t="shared" si="18"/>
        <v>Fevereiro</v>
      </c>
      <c r="E254" t="s">
        <v>6</v>
      </c>
      <c r="F254" t="s">
        <v>10</v>
      </c>
      <c r="G254" s="13" t="str">
        <f t="shared" si="15"/>
        <v/>
      </c>
      <c r="H254" t="s">
        <v>34</v>
      </c>
      <c r="I254" s="16">
        <v>76.930000000000007</v>
      </c>
    </row>
    <row r="255" spans="1:9">
      <c r="A255" s="15">
        <v>46069</v>
      </c>
      <c r="B255">
        <f t="shared" si="16"/>
        <v>2026</v>
      </c>
      <c r="C255" t="str">
        <f t="shared" si="17"/>
        <v>fev</v>
      </c>
      <c r="D255" t="str">
        <f t="shared" si="18"/>
        <v>Fevereiro</v>
      </c>
      <c r="E255" t="s">
        <v>6</v>
      </c>
      <c r="F255" t="s">
        <v>204</v>
      </c>
      <c r="G255" s="13" t="str">
        <f t="shared" si="15"/>
        <v/>
      </c>
      <c r="H255" t="s">
        <v>22</v>
      </c>
      <c r="I255" s="16">
        <v>482.2</v>
      </c>
    </row>
    <row r="256" spans="1:9">
      <c r="A256" s="15">
        <v>46069</v>
      </c>
      <c r="B256">
        <f t="shared" si="16"/>
        <v>2026</v>
      </c>
      <c r="C256" t="str">
        <f t="shared" si="17"/>
        <v>fev</v>
      </c>
      <c r="D256" t="str">
        <f t="shared" si="18"/>
        <v>Fevereiro</v>
      </c>
      <c r="E256" t="s">
        <v>6</v>
      </c>
      <c r="F256" t="s">
        <v>12</v>
      </c>
      <c r="G256" s="13" t="str">
        <f t="shared" si="15"/>
        <v/>
      </c>
      <c r="H256" t="s">
        <v>246</v>
      </c>
      <c r="I256" s="16">
        <v>159.63999999999999</v>
      </c>
    </row>
    <row r="257" spans="1:9">
      <c r="A257" s="15">
        <v>46070</v>
      </c>
      <c r="B257">
        <f t="shared" si="16"/>
        <v>2026</v>
      </c>
      <c r="C257" t="str">
        <f t="shared" si="17"/>
        <v>fev</v>
      </c>
      <c r="D257" t="str">
        <f t="shared" si="18"/>
        <v>Fevereiro</v>
      </c>
      <c r="E257" t="s">
        <v>6</v>
      </c>
      <c r="F257" t="s">
        <v>204</v>
      </c>
      <c r="G257" s="13" t="str">
        <f t="shared" si="15"/>
        <v/>
      </c>
      <c r="H257" t="s">
        <v>205</v>
      </c>
      <c r="I257" s="16">
        <v>59.93</v>
      </c>
    </row>
    <row r="258" spans="1:9">
      <c r="A258" s="15">
        <v>46071</v>
      </c>
      <c r="B258">
        <f t="shared" si="16"/>
        <v>2026</v>
      </c>
      <c r="C258" t="str">
        <f t="shared" si="17"/>
        <v>fev</v>
      </c>
      <c r="D258" t="str">
        <f t="shared" si="18"/>
        <v>Fevereiro</v>
      </c>
      <c r="E258" t="s">
        <v>5</v>
      </c>
      <c r="F258" t="s">
        <v>12</v>
      </c>
      <c r="G258" s="13" t="str">
        <f t="shared" si="15"/>
        <v>Outras Receitas</v>
      </c>
      <c r="H258" t="s">
        <v>228</v>
      </c>
      <c r="I258" s="16">
        <v>95</v>
      </c>
    </row>
    <row r="259" spans="1:9">
      <c r="A259" s="15">
        <v>46071</v>
      </c>
      <c r="B259">
        <f t="shared" si="16"/>
        <v>2026</v>
      </c>
      <c r="C259" t="str">
        <f t="shared" si="17"/>
        <v>fev</v>
      </c>
      <c r="D259" t="str">
        <f t="shared" si="18"/>
        <v>Fevereiro</v>
      </c>
      <c r="E259" t="s">
        <v>5</v>
      </c>
      <c r="F259" t="s">
        <v>12</v>
      </c>
      <c r="G259" s="13" t="str">
        <f t="shared" ref="G259:G264" si="19">IF(E259="Receita",IF(H259="Salário","Salário","Outras Receitas"),"")</f>
        <v>Outras Receitas</v>
      </c>
      <c r="H259" t="s">
        <v>228</v>
      </c>
      <c r="I259" s="16">
        <v>95</v>
      </c>
    </row>
    <row r="260" spans="1:9">
      <c r="A260" s="15">
        <v>46071</v>
      </c>
      <c r="B260">
        <f t="shared" si="16"/>
        <v>2026</v>
      </c>
      <c r="C260" t="str">
        <f t="shared" si="17"/>
        <v>fev</v>
      </c>
      <c r="D260" t="str">
        <f t="shared" si="18"/>
        <v>Fevereiro</v>
      </c>
      <c r="E260" t="s">
        <v>5</v>
      </c>
      <c r="F260" t="s">
        <v>12</v>
      </c>
      <c r="G260" s="13" t="str">
        <f t="shared" si="19"/>
        <v>Outras Receitas</v>
      </c>
      <c r="H260" t="s">
        <v>228</v>
      </c>
      <c r="I260" s="16">
        <v>644.1</v>
      </c>
    </row>
    <row r="261" spans="1:9">
      <c r="A261" s="15">
        <v>46071</v>
      </c>
      <c r="B261">
        <f t="shared" si="16"/>
        <v>2026</v>
      </c>
      <c r="C261" t="str">
        <f t="shared" si="17"/>
        <v>fev</v>
      </c>
      <c r="D261" t="str">
        <f t="shared" si="18"/>
        <v>Fevereiro</v>
      </c>
      <c r="E261" t="s">
        <v>5</v>
      </c>
      <c r="F261" t="s">
        <v>12</v>
      </c>
      <c r="G261" s="13" t="str">
        <f t="shared" si="19"/>
        <v>Outras Receitas</v>
      </c>
      <c r="H261" t="s">
        <v>246</v>
      </c>
      <c r="I261" s="16">
        <v>975</v>
      </c>
    </row>
    <row r="262" spans="1:9">
      <c r="A262" s="15">
        <v>46071</v>
      </c>
      <c r="B262">
        <f t="shared" si="16"/>
        <v>2026</v>
      </c>
      <c r="C262" t="str">
        <f t="shared" si="17"/>
        <v>fev</v>
      </c>
      <c r="D262" t="str">
        <f t="shared" si="18"/>
        <v>Fevereiro</v>
      </c>
      <c r="E262" t="s">
        <v>6</v>
      </c>
      <c r="F262" t="s">
        <v>12</v>
      </c>
      <c r="G262" s="13" t="str">
        <f t="shared" si="19"/>
        <v/>
      </c>
      <c r="H262" t="s">
        <v>246</v>
      </c>
      <c r="I262" s="16">
        <v>925.49</v>
      </c>
    </row>
    <row r="263" spans="1:9">
      <c r="A263" s="15">
        <v>46071</v>
      </c>
      <c r="B263">
        <f t="shared" si="16"/>
        <v>2026</v>
      </c>
      <c r="C263" t="str">
        <f t="shared" si="17"/>
        <v>fev</v>
      </c>
      <c r="D263" t="str">
        <f t="shared" si="18"/>
        <v>Fevereiro</v>
      </c>
      <c r="E263" t="s">
        <v>6</v>
      </c>
      <c r="F263" t="s">
        <v>12</v>
      </c>
      <c r="G263" s="13" t="str">
        <f t="shared" si="19"/>
        <v/>
      </c>
      <c r="H263" t="s">
        <v>246</v>
      </c>
      <c r="I263" s="16">
        <v>273</v>
      </c>
    </row>
    <row r="264" spans="1:9">
      <c r="A264" s="15">
        <v>46071</v>
      </c>
      <c r="B264">
        <f t="shared" si="16"/>
        <v>2026</v>
      </c>
      <c r="C264" t="str">
        <f t="shared" si="17"/>
        <v>fev</v>
      </c>
      <c r="D264" t="str">
        <f t="shared" si="18"/>
        <v>Fevereiro</v>
      </c>
      <c r="E264" t="s">
        <v>6</v>
      </c>
      <c r="F264" t="s">
        <v>12</v>
      </c>
      <c r="G264" s="13" t="str">
        <f t="shared" si="19"/>
        <v/>
      </c>
      <c r="H264" t="s">
        <v>228</v>
      </c>
      <c r="I264" s="16">
        <v>40</v>
      </c>
    </row>
  </sheetData>
  <autoFilter ref="A1:I264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7D22-D9A5-4EA5-8F2D-F5F4FE50F23D}">
  <dimension ref="A1:O130"/>
  <sheetViews>
    <sheetView topLeftCell="A13" workbookViewId="0">
      <selection activeCell="K2" sqref="K2:K130"/>
    </sheetView>
  </sheetViews>
  <sheetFormatPr defaultRowHeight="15"/>
  <cols>
    <col min="1" max="1" width="23.28515625" bestFit="1" customWidth="1"/>
    <col min="2" max="2" width="22.5703125" bestFit="1" customWidth="1"/>
    <col min="5" max="5" width="16.7109375" bestFit="1" customWidth="1"/>
    <col min="11" max="11" width="19.7109375" bestFit="1" customWidth="1"/>
    <col min="12" max="12" width="19.42578125" bestFit="1" customWidth="1"/>
    <col min="13" max="13" width="27.140625" bestFit="1" customWidth="1"/>
    <col min="14" max="14" width="27.140625" customWidth="1"/>
    <col min="15" max="15" width="11.7109375" bestFit="1" customWidth="1"/>
  </cols>
  <sheetData>
    <row r="1" spans="1:15">
      <c r="A1" t="s">
        <v>2</v>
      </c>
      <c r="B1" t="s">
        <v>3</v>
      </c>
      <c r="E1" t="s">
        <v>49</v>
      </c>
      <c r="L1" t="s">
        <v>2</v>
      </c>
      <c r="M1" t="s">
        <v>3</v>
      </c>
      <c r="N1" t="s">
        <v>212</v>
      </c>
      <c r="O1" t="s">
        <v>217</v>
      </c>
    </row>
    <row r="2" spans="1:15">
      <c r="A2" t="s">
        <v>204</v>
      </c>
      <c r="B2" t="s">
        <v>205</v>
      </c>
      <c r="E2" t="s">
        <v>7</v>
      </c>
      <c r="K2" t="str">
        <f>L2&amp;"-"&amp;M2</f>
        <v>ALIMENTAÇÃO-Ifood</v>
      </c>
      <c r="L2" t="s">
        <v>65</v>
      </c>
      <c r="M2" t="s">
        <v>64</v>
      </c>
      <c r="N2" t="s">
        <v>204</v>
      </c>
      <c r="O2" t="s">
        <v>205</v>
      </c>
    </row>
    <row r="3" spans="1:15">
      <c r="A3" t="s">
        <v>204</v>
      </c>
      <c r="B3" t="s">
        <v>22</v>
      </c>
      <c r="E3" t="s">
        <v>50</v>
      </c>
      <c r="K3" t="str">
        <f t="shared" ref="K3:K66" si="0">L3&amp;"-"&amp;M3</f>
        <v>ALIMENTAÇÃO-Caldo de cana</v>
      </c>
      <c r="L3" t="s">
        <v>65</v>
      </c>
      <c r="M3" t="s">
        <v>79</v>
      </c>
      <c r="N3" t="s">
        <v>204</v>
      </c>
      <c r="O3" t="s">
        <v>213</v>
      </c>
    </row>
    <row r="4" spans="1:15">
      <c r="A4" t="s">
        <v>204</v>
      </c>
      <c r="B4" t="s">
        <v>30</v>
      </c>
      <c r="E4" t="s">
        <v>200</v>
      </c>
      <c r="K4" t="str">
        <f t="shared" si="0"/>
        <v>ALIMENTAÇÃO-pastel</v>
      </c>
      <c r="L4" t="s">
        <v>65</v>
      </c>
      <c r="M4" t="s">
        <v>80</v>
      </c>
      <c r="N4" t="s">
        <v>204</v>
      </c>
      <c r="O4" t="s">
        <v>213</v>
      </c>
    </row>
    <row r="5" spans="1:15">
      <c r="A5" t="s">
        <v>204</v>
      </c>
      <c r="B5" t="s">
        <v>213</v>
      </c>
      <c r="E5" t="s">
        <v>200</v>
      </c>
      <c r="K5" t="str">
        <f t="shared" si="0"/>
        <v>ALIMENTAÇÃO-Gran coffee</v>
      </c>
      <c r="L5" t="s">
        <v>65</v>
      </c>
      <c r="M5" t="s">
        <v>86</v>
      </c>
      <c r="N5" t="s">
        <v>204</v>
      </c>
      <c r="O5" t="s">
        <v>214</v>
      </c>
    </row>
    <row r="6" spans="1:15">
      <c r="A6" t="s">
        <v>204</v>
      </c>
      <c r="B6" t="s">
        <v>214</v>
      </c>
      <c r="E6" t="s">
        <v>200</v>
      </c>
      <c r="K6" t="str">
        <f t="shared" si="0"/>
        <v>ALIMENTAÇÃO-Café</v>
      </c>
      <c r="L6" t="s">
        <v>65</v>
      </c>
      <c r="M6" t="s">
        <v>88</v>
      </c>
      <c r="N6" t="s">
        <v>204</v>
      </c>
      <c r="O6" t="s">
        <v>30</v>
      </c>
    </row>
    <row r="7" spans="1:15">
      <c r="A7" t="s">
        <v>206</v>
      </c>
      <c r="B7" t="s">
        <v>207</v>
      </c>
      <c r="E7" t="s">
        <v>200</v>
      </c>
      <c r="K7" t="str">
        <f t="shared" si="0"/>
        <v>ALIMENTAÇÃO-NUTRICAR</v>
      </c>
      <c r="L7" t="s">
        <v>65</v>
      </c>
      <c r="M7" t="s">
        <v>94</v>
      </c>
      <c r="N7" t="s">
        <v>204</v>
      </c>
      <c r="O7" t="s">
        <v>214</v>
      </c>
    </row>
    <row r="8" spans="1:15">
      <c r="A8" t="s">
        <v>206</v>
      </c>
      <c r="B8" t="s">
        <v>208</v>
      </c>
      <c r="K8" t="str">
        <f t="shared" si="0"/>
        <v>ALIMENTAÇÃO-cookie</v>
      </c>
      <c r="L8" t="s">
        <v>65</v>
      </c>
      <c r="M8" t="s">
        <v>100</v>
      </c>
      <c r="N8" t="s">
        <v>204</v>
      </c>
      <c r="O8" t="s">
        <v>30</v>
      </c>
    </row>
    <row r="9" spans="1:15">
      <c r="A9" t="s">
        <v>206</v>
      </c>
      <c r="B9" t="s">
        <v>209</v>
      </c>
      <c r="K9" t="str">
        <f t="shared" si="0"/>
        <v>ALIMENTAÇÃO-sorvete</v>
      </c>
      <c r="L9" t="s">
        <v>65</v>
      </c>
      <c r="M9" t="s">
        <v>101</v>
      </c>
      <c r="N9" t="s">
        <v>204</v>
      </c>
      <c r="O9" t="s">
        <v>30</v>
      </c>
    </row>
    <row r="10" spans="1:15">
      <c r="A10" t="s">
        <v>206</v>
      </c>
      <c r="B10" t="s">
        <v>38</v>
      </c>
      <c r="E10" t="s">
        <v>200</v>
      </c>
      <c r="K10" t="str">
        <f t="shared" si="0"/>
        <v>ALIMENTAÇÃO-mercado</v>
      </c>
      <c r="L10" t="s">
        <v>65</v>
      </c>
      <c r="M10" t="s">
        <v>111</v>
      </c>
      <c r="N10" t="s">
        <v>204</v>
      </c>
      <c r="O10" t="s">
        <v>22</v>
      </c>
    </row>
    <row r="11" spans="1:15">
      <c r="A11" t="s">
        <v>219</v>
      </c>
      <c r="B11" t="s">
        <v>220</v>
      </c>
      <c r="E11" t="s">
        <v>200</v>
      </c>
      <c r="K11" t="str">
        <f t="shared" si="0"/>
        <v>ALIMENTAÇÃO-mc donalds</v>
      </c>
      <c r="L11" t="s">
        <v>65</v>
      </c>
      <c r="M11" t="s">
        <v>144</v>
      </c>
      <c r="N11" t="s">
        <v>204</v>
      </c>
      <c r="O11" t="s">
        <v>30</v>
      </c>
    </row>
    <row r="12" spans="1:15">
      <c r="A12" t="s">
        <v>219</v>
      </c>
      <c r="B12" t="s">
        <v>155</v>
      </c>
      <c r="E12" t="s">
        <v>200</v>
      </c>
      <c r="K12" t="str">
        <f t="shared" si="0"/>
        <v>ALIMENTAÇÃO-ifood - cabana</v>
      </c>
      <c r="L12" t="s">
        <v>65</v>
      </c>
      <c r="M12" t="s">
        <v>149</v>
      </c>
      <c r="N12" t="s">
        <v>204</v>
      </c>
      <c r="O12" t="s">
        <v>205</v>
      </c>
    </row>
    <row r="13" spans="1:15">
      <c r="A13" t="s">
        <v>222</v>
      </c>
      <c r="B13" t="s">
        <v>215</v>
      </c>
      <c r="E13" t="s">
        <v>200</v>
      </c>
      <c r="K13" t="str">
        <f t="shared" si="0"/>
        <v>ALIMENTAÇÃO-patties</v>
      </c>
      <c r="L13" t="s">
        <v>65</v>
      </c>
      <c r="M13" t="s">
        <v>151</v>
      </c>
      <c r="N13" t="s">
        <v>204</v>
      </c>
      <c r="O13" t="s">
        <v>30</v>
      </c>
    </row>
    <row r="14" spans="1:15">
      <c r="A14" t="s">
        <v>236</v>
      </c>
      <c r="B14" t="s">
        <v>237</v>
      </c>
      <c r="E14" t="s">
        <v>200</v>
      </c>
      <c r="K14" t="str">
        <f t="shared" si="0"/>
        <v>ALIMENTAÇÃO-suco - tambore</v>
      </c>
      <c r="L14" t="s">
        <v>65</v>
      </c>
      <c r="M14" t="s">
        <v>159</v>
      </c>
      <c r="N14" t="s">
        <v>204</v>
      </c>
      <c r="O14" t="s">
        <v>30</v>
      </c>
    </row>
    <row r="15" spans="1:15">
      <c r="A15" t="s">
        <v>203</v>
      </c>
      <c r="B15" t="s">
        <v>227</v>
      </c>
      <c r="E15" t="s">
        <v>200</v>
      </c>
      <c r="K15" t="str">
        <f t="shared" si="0"/>
        <v>ALIMENTAÇÃO-casa pilão</v>
      </c>
      <c r="L15" t="s">
        <v>65</v>
      </c>
      <c r="M15" t="s">
        <v>162</v>
      </c>
      <c r="N15" t="s">
        <v>204</v>
      </c>
      <c r="O15" t="s">
        <v>30</v>
      </c>
    </row>
    <row r="16" spans="1:15">
      <c r="A16" t="s">
        <v>203</v>
      </c>
      <c r="B16" t="s">
        <v>229</v>
      </c>
      <c r="E16" t="s">
        <v>200</v>
      </c>
      <c r="K16" t="str">
        <f t="shared" si="0"/>
        <v>ALIMENTAÇÃO-fatz</v>
      </c>
      <c r="L16" t="s">
        <v>65</v>
      </c>
      <c r="M16" t="s">
        <v>165</v>
      </c>
      <c r="N16" t="s">
        <v>204</v>
      </c>
      <c r="O16" t="s">
        <v>30</v>
      </c>
    </row>
    <row r="17" spans="1:15">
      <c r="A17" t="s">
        <v>203</v>
      </c>
      <c r="B17" t="s">
        <v>230</v>
      </c>
      <c r="E17" t="s">
        <v>200</v>
      </c>
      <c r="K17" t="str">
        <f t="shared" si="0"/>
        <v>ALIMENTAÇÃO-IFD*iFood</v>
      </c>
      <c r="L17" t="s">
        <v>65</v>
      </c>
      <c r="M17" t="s">
        <v>169</v>
      </c>
      <c r="N17" t="s">
        <v>204</v>
      </c>
      <c r="O17" t="s">
        <v>205</v>
      </c>
    </row>
    <row r="18" spans="1:15">
      <c r="A18" t="s">
        <v>231</v>
      </c>
      <c r="B18" t="s">
        <v>232</v>
      </c>
      <c r="E18" t="s">
        <v>200</v>
      </c>
      <c r="K18" t="str">
        <f t="shared" si="0"/>
        <v>ALIMENTAÇÃO-OUTBACK BOURBOUN SP</v>
      </c>
      <c r="L18" t="s">
        <v>65</v>
      </c>
      <c r="M18" t="s">
        <v>171</v>
      </c>
      <c r="N18" t="s">
        <v>204</v>
      </c>
      <c r="O18" t="s">
        <v>30</v>
      </c>
    </row>
    <row r="19" spans="1:15">
      <c r="A19" t="s">
        <v>224</v>
      </c>
      <c r="B19" t="s">
        <v>225</v>
      </c>
      <c r="E19" t="s">
        <v>200</v>
      </c>
      <c r="K19" t="str">
        <f t="shared" si="0"/>
        <v>ALIMENTAÇÃO-GRAN  COFFEE</v>
      </c>
      <c r="L19" t="s">
        <v>65</v>
      </c>
      <c r="M19" t="s">
        <v>174</v>
      </c>
      <c r="N19" t="s">
        <v>204</v>
      </c>
      <c r="O19" t="s">
        <v>214</v>
      </c>
    </row>
    <row r="20" spans="1:15">
      <c r="A20" t="s">
        <v>224</v>
      </c>
      <c r="B20" t="s">
        <v>226</v>
      </c>
      <c r="E20" t="s">
        <v>200</v>
      </c>
      <c r="K20" t="str">
        <f t="shared" si="0"/>
        <v>ALIMENTAÇÃO-COZINHA 212</v>
      </c>
      <c r="L20" t="s">
        <v>65</v>
      </c>
      <c r="M20" t="s">
        <v>176</v>
      </c>
      <c r="N20" t="s">
        <v>204</v>
      </c>
      <c r="O20" t="s">
        <v>30</v>
      </c>
    </row>
    <row r="21" spans="1:15">
      <c r="A21" t="s">
        <v>224</v>
      </c>
      <c r="B21" t="s">
        <v>239</v>
      </c>
      <c r="E21" t="s">
        <v>200</v>
      </c>
      <c r="K21" t="str">
        <f t="shared" si="0"/>
        <v>ALIMENTAÇÃO-benihana</v>
      </c>
      <c r="L21" t="s">
        <v>65</v>
      </c>
      <c r="M21" t="s">
        <v>185</v>
      </c>
      <c r="N21" t="s">
        <v>204</v>
      </c>
      <c r="O21" t="s">
        <v>30</v>
      </c>
    </row>
    <row r="22" spans="1:15">
      <c r="A22" t="s">
        <v>224</v>
      </c>
      <c r="B22" t="s">
        <v>240</v>
      </c>
      <c r="E22" t="s">
        <v>200</v>
      </c>
      <c r="K22" t="str">
        <f t="shared" si="0"/>
        <v>ALIMENTAÇÃO-IFD*MANIHI SUSHI - TAMBOR</v>
      </c>
      <c r="L22" t="s">
        <v>65</v>
      </c>
      <c r="M22" t="s">
        <v>196</v>
      </c>
      <c r="N22" t="s">
        <v>204</v>
      </c>
      <c r="O22" t="s">
        <v>205</v>
      </c>
    </row>
    <row r="23" spans="1:15">
      <c r="A23" t="s">
        <v>224</v>
      </c>
      <c r="B23" t="s">
        <v>241</v>
      </c>
      <c r="E23" t="s">
        <v>200</v>
      </c>
      <c r="K23" t="str">
        <f t="shared" si="0"/>
        <v>APARTAMENTO-Apartamento</v>
      </c>
      <c r="L23" t="s">
        <v>98</v>
      </c>
      <c r="M23" t="s">
        <v>97</v>
      </c>
      <c r="N23" t="s">
        <v>9</v>
      </c>
      <c r="O23" t="s">
        <v>218</v>
      </c>
    </row>
    <row r="24" spans="1:15">
      <c r="A24" t="s">
        <v>224</v>
      </c>
      <c r="B24" t="s">
        <v>242</v>
      </c>
      <c r="E24" t="s">
        <v>200</v>
      </c>
      <c r="K24" t="str">
        <f t="shared" si="0"/>
        <v>ASSINATURA-chatgpt</v>
      </c>
      <c r="L24" t="s">
        <v>154</v>
      </c>
      <c r="M24" t="s">
        <v>153</v>
      </c>
      <c r="N24" t="s">
        <v>206</v>
      </c>
      <c r="O24" t="s">
        <v>207</v>
      </c>
    </row>
    <row r="25" spans="1:15">
      <c r="A25" t="s">
        <v>12</v>
      </c>
      <c r="B25" t="s">
        <v>28</v>
      </c>
      <c r="E25" t="s">
        <v>200</v>
      </c>
      <c r="K25" t="str">
        <f t="shared" si="0"/>
        <v>ASSINATURA-spyads - mkt</v>
      </c>
      <c r="L25" t="s">
        <v>154</v>
      </c>
      <c r="M25" t="s">
        <v>117</v>
      </c>
      <c r="N25" t="s">
        <v>206</v>
      </c>
      <c r="O25" t="s">
        <v>208</v>
      </c>
    </row>
    <row r="26" spans="1:15">
      <c r="A26" t="s">
        <v>12</v>
      </c>
      <c r="B26" t="s">
        <v>35</v>
      </c>
      <c r="E26" t="s">
        <v>200</v>
      </c>
      <c r="K26" t="str">
        <f t="shared" si="0"/>
        <v>ASSINATURA-OPENAI *CHATGPT SUBSCR</v>
      </c>
      <c r="L26" t="s">
        <v>154</v>
      </c>
      <c r="M26" t="s">
        <v>177</v>
      </c>
      <c r="N26" t="s">
        <v>206</v>
      </c>
      <c r="O26" t="s">
        <v>207</v>
      </c>
    </row>
    <row r="27" spans="1:15">
      <c r="A27" t="s">
        <v>12</v>
      </c>
      <c r="B27" t="s">
        <v>210</v>
      </c>
      <c r="E27" t="s">
        <v>200</v>
      </c>
      <c r="K27" t="str">
        <f t="shared" si="0"/>
        <v>ASSINATURA-KIWIFY *HelpspyAds</v>
      </c>
      <c r="L27" t="s">
        <v>154</v>
      </c>
      <c r="M27" t="s">
        <v>178</v>
      </c>
      <c r="N27" t="s">
        <v>206</v>
      </c>
      <c r="O27" t="s">
        <v>208</v>
      </c>
    </row>
    <row r="28" spans="1:15">
      <c r="A28" t="s">
        <v>12</v>
      </c>
      <c r="B28" t="s">
        <v>39</v>
      </c>
      <c r="E28" t="s">
        <v>200</v>
      </c>
      <c r="K28" t="str">
        <f t="shared" si="0"/>
        <v>CARTÃO-seguro cartão</v>
      </c>
      <c r="L28" t="s">
        <v>85</v>
      </c>
      <c r="M28" t="s">
        <v>84</v>
      </c>
      <c r="N28" t="s">
        <v>219</v>
      </c>
      <c r="O28" t="s">
        <v>220</v>
      </c>
    </row>
    <row r="29" spans="1:15">
      <c r="A29" t="s">
        <v>12</v>
      </c>
      <c r="B29" t="s">
        <v>211</v>
      </c>
      <c r="E29" t="s">
        <v>200</v>
      </c>
      <c r="K29" t="str">
        <f t="shared" si="0"/>
        <v>CARTÃO-IOF</v>
      </c>
      <c r="L29" t="s">
        <v>85</v>
      </c>
      <c r="M29" t="s">
        <v>155</v>
      </c>
      <c r="N29" t="s">
        <v>219</v>
      </c>
      <c r="O29" t="s">
        <v>155</v>
      </c>
    </row>
    <row r="30" spans="1:15">
      <c r="A30" t="s">
        <v>9</v>
      </c>
      <c r="B30" t="s">
        <v>14</v>
      </c>
      <c r="E30" t="s">
        <v>200</v>
      </c>
      <c r="K30" t="str">
        <f t="shared" si="0"/>
        <v>CARTÃO-gastos cartao</v>
      </c>
      <c r="L30" t="s">
        <v>85</v>
      </c>
      <c r="M30" t="s">
        <v>105</v>
      </c>
      <c r="N30" t="s">
        <v>219</v>
      </c>
      <c r="O30" t="s">
        <v>221</v>
      </c>
    </row>
    <row r="31" spans="1:15">
      <c r="A31" t="s">
        <v>9</v>
      </c>
      <c r="B31" t="s">
        <v>15</v>
      </c>
      <c r="E31" t="s">
        <v>200</v>
      </c>
      <c r="K31" t="str">
        <f t="shared" si="0"/>
        <v>CARTÃO-Gasto c Credito</v>
      </c>
      <c r="L31" t="s">
        <v>85</v>
      </c>
      <c r="M31" t="s">
        <v>188</v>
      </c>
      <c r="N31" t="s">
        <v>219</v>
      </c>
      <c r="O31" t="s">
        <v>221</v>
      </c>
    </row>
    <row r="32" spans="1:15">
      <c r="A32" t="s">
        <v>9</v>
      </c>
      <c r="B32" t="s">
        <v>16</v>
      </c>
      <c r="E32" t="s">
        <v>200</v>
      </c>
      <c r="K32" t="str">
        <f t="shared" si="0"/>
        <v>CUIDADOS PESSOAIS-barbearia</v>
      </c>
      <c r="L32" t="s">
        <v>90</v>
      </c>
      <c r="M32" t="s">
        <v>89</v>
      </c>
      <c r="N32" t="s">
        <v>222</v>
      </c>
      <c r="O32" t="s">
        <v>215</v>
      </c>
    </row>
    <row r="33" spans="1:15">
      <c r="A33" t="s">
        <v>9</v>
      </c>
      <c r="B33" t="s">
        <v>18</v>
      </c>
      <c r="E33" t="s">
        <v>200</v>
      </c>
      <c r="K33" t="str">
        <f t="shared" si="0"/>
        <v>CUIDADOS PESSOAIS-farmacia</v>
      </c>
      <c r="L33" t="s">
        <v>90</v>
      </c>
      <c r="M33" t="s">
        <v>99</v>
      </c>
      <c r="N33" t="s">
        <v>11</v>
      </c>
      <c r="O33" t="s">
        <v>223</v>
      </c>
    </row>
    <row r="34" spans="1:15">
      <c r="A34" t="s">
        <v>9</v>
      </c>
      <c r="B34" t="s">
        <v>20</v>
      </c>
      <c r="E34" t="s">
        <v>200</v>
      </c>
      <c r="K34" t="str">
        <f t="shared" si="0"/>
        <v>CUIDADOS PESSOAIS-DENTISTA</v>
      </c>
      <c r="L34" t="s">
        <v>90</v>
      </c>
      <c r="M34" t="s">
        <v>104</v>
      </c>
      <c r="N34" t="s">
        <v>11</v>
      </c>
      <c r="O34" t="s">
        <v>216</v>
      </c>
    </row>
    <row r="35" spans="1:15">
      <c r="A35" t="s">
        <v>9</v>
      </c>
      <c r="B35" t="s">
        <v>23</v>
      </c>
      <c r="E35" t="s">
        <v>200</v>
      </c>
      <c r="K35" t="str">
        <f t="shared" si="0"/>
        <v>CUIDADOS PESSOAIS-cabelo</v>
      </c>
      <c r="L35" t="s">
        <v>90</v>
      </c>
      <c r="M35" t="s">
        <v>108</v>
      </c>
      <c r="N35" t="s">
        <v>222</v>
      </c>
      <c r="O35" t="s">
        <v>215</v>
      </c>
    </row>
    <row r="36" spans="1:15">
      <c r="A36" t="s">
        <v>9</v>
      </c>
      <c r="B36" t="s">
        <v>26</v>
      </c>
      <c r="K36" t="str">
        <f t="shared" si="0"/>
        <v>CUIDADOS PESSOAIS-vans</v>
      </c>
      <c r="L36" t="s">
        <v>90</v>
      </c>
      <c r="M36" t="s">
        <v>123</v>
      </c>
      <c r="N36" t="s">
        <v>238</v>
      </c>
      <c r="O36" t="s">
        <v>19</v>
      </c>
    </row>
    <row r="37" spans="1:15">
      <c r="A37" t="s">
        <v>9</v>
      </c>
      <c r="B37" t="s">
        <v>32</v>
      </c>
      <c r="K37" t="str">
        <f t="shared" si="0"/>
        <v>CUIDADOS PESSOAIS-aramis</v>
      </c>
      <c r="L37" t="s">
        <v>90</v>
      </c>
      <c r="M37" t="s">
        <v>124</v>
      </c>
      <c r="N37" t="s">
        <v>238</v>
      </c>
      <c r="O37" t="s">
        <v>19</v>
      </c>
    </row>
    <row r="38" spans="1:15">
      <c r="A38" t="s">
        <v>9</v>
      </c>
      <c r="B38" t="s">
        <v>218</v>
      </c>
      <c r="K38" t="str">
        <f t="shared" si="0"/>
        <v>CUIDADOS PESSOAIS-renner</v>
      </c>
      <c r="L38" t="s">
        <v>90</v>
      </c>
      <c r="M38" t="s">
        <v>152</v>
      </c>
      <c r="N38" t="s">
        <v>238</v>
      </c>
      <c r="O38" t="s">
        <v>19</v>
      </c>
    </row>
    <row r="39" spans="1:15">
      <c r="A39" t="s">
        <v>12</v>
      </c>
      <c r="B39" t="s">
        <v>228</v>
      </c>
      <c r="K39" t="str">
        <f t="shared" si="0"/>
        <v>CUIDADOS PESSOAIS-THE CHAMPS - A BARBEAR</v>
      </c>
      <c r="L39" t="s">
        <v>90</v>
      </c>
      <c r="M39" t="s">
        <v>183</v>
      </c>
      <c r="N39" t="s">
        <v>222</v>
      </c>
      <c r="O39" t="s">
        <v>215</v>
      </c>
    </row>
    <row r="40" spans="1:15">
      <c r="A40" t="s">
        <v>201</v>
      </c>
      <c r="B40" t="s">
        <v>7</v>
      </c>
      <c r="K40" t="str">
        <f t="shared" si="0"/>
        <v>CUIDADOS PESSOAIS-CAPINHA CELULAR</v>
      </c>
      <c r="L40" t="s">
        <v>90</v>
      </c>
      <c r="M40" t="s">
        <v>191</v>
      </c>
      <c r="N40" t="s">
        <v>238</v>
      </c>
      <c r="O40" t="s">
        <v>24</v>
      </c>
    </row>
    <row r="41" spans="1:15">
      <c r="A41" t="s">
        <v>201</v>
      </c>
      <c r="B41" t="s">
        <v>95</v>
      </c>
      <c r="K41" t="str">
        <f t="shared" si="0"/>
        <v>CURSO-curso</v>
      </c>
      <c r="L41" t="s">
        <v>167</v>
      </c>
      <c r="M41" t="s">
        <v>73</v>
      </c>
      <c r="N41" t="s">
        <v>236</v>
      </c>
      <c r="O41" t="s">
        <v>237</v>
      </c>
    </row>
    <row r="42" spans="1:15">
      <c r="A42" t="s">
        <v>201</v>
      </c>
      <c r="B42" t="s">
        <v>202</v>
      </c>
      <c r="K42" t="str">
        <f t="shared" si="0"/>
        <v>EDUCAÇÃO-curso</v>
      </c>
      <c r="L42" t="s">
        <v>74</v>
      </c>
      <c r="M42" t="s">
        <v>73</v>
      </c>
      <c r="N42" t="s">
        <v>236</v>
      </c>
      <c r="O42" t="s">
        <v>237</v>
      </c>
    </row>
    <row r="43" spans="1:15">
      <c r="A43" t="s">
        <v>233</v>
      </c>
      <c r="B43" t="s">
        <v>234</v>
      </c>
      <c r="K43" t="str">
        <f t="shared" si="0"/>
        <v>Gasolina-posto</v>
      </c>
      <c r="L43" t="s">
        <v>27</v>
      </c>
      <c r="M43" t="s">
        <v>130</v>
      </c>
      <c r="N43" t="s">
        <v>10</v>
      </c>
      <c r="O43" t="s">
        <v>27</v>
      </c>
    </row>
    <row r="44" spans="1:15">
      <c r="A44" t="s">
        <v>233</v>
      </c>
      <c r="B44" t="s">
        <v>235</v>
      </c>
      <c r="K44" t="str">
        <f t="shared" si="0"/>
        <v>INVESTIMENTO-investimento</v>
      </c>
      <c r="L44" t="s">
        <v>102</v>
      </c>
      <c r="M44" t="s">
        <v>69</v>
      </c>
      <c r="N44" t="s">
        <v>224</v>
      </c>
      <c r="O44" t="s">
        <v>241</v>
      </c>
    </row>
    <row r="45" spans="1:15">
      <c r="A45" t="s">
        <v>8</v>
      </c>
      <c r="B45" t="s">
        <v>13</v>
      </c>
      <c r="K45" t="str">
        <f t="shared" si="0"/>
        <v>INVESTIMENTO-aplicação CDB</v>
      </c>
      <c r="L45" t="s">
        <v>102</v>
      </c>
      <c r="M45" t="s">
        <v>132</v>
      </c>
      <c r="N45" t="s">
        <v>224</v>
      </c>
      <c r="O45" t="s">
        <v>241</v>
      </c>
    </row>
    <row r="46" spans="1:15">
      <c r="A46" t="s">
        <v>11</v>
      </c>
      <c r="B46" t="s">
        <v>21</v>
      </c>
      <c r="K46" t="str">
        <f t="shared" si="0"/>
        <v>INVESTIMENTO-XPML11</v>
      </c>
      <c r="L46" t="s">
        <v>102</v>
      </c>
      <c r="M46" t="s">
        <v>133</v>
      </c>
      <c r="N46" t="s">
        <v>224</v>
      </c>
      <c r="O46" t="s">
        <v>243</v>
      </c>
    </row>
    <row r="47" spans="1:15">
      <c r="A47" t="s">
        <v>11</v>
      </c>
      <c r="B47" t="s">
        <v>29</v>
      </c>
      <c r="K47" t="str">
        <f t="shared" si="0"/>
        <v>INVESTIMENTO-PVBI11</v>
      </c>
      <c r="L47" t="s">
        <v>102</v>
      </c>
      <c r="M47" t="s">
        <v>134</v>
      </c>
      <c r="N47" t="s">
        <v>224</v>
      </c>
      <c r="O47" t="s">
        <v>243</v>
      </c>
    </row>
    <row r="48" spans="1:15">
      <c r="A48" t="s">
        <v>11</v>
      </c>
      <c r="B48" t="s">
        <v>33</v>
      </c>
      <c r="K48" t="str">
        <f t="shared" si="0"/>
        <v>INVESTIMENTO-Investimento FIIs</v>
      </c>
      <c r="L48" t="s">
        <v>102</v>
      </c>
      <c r="M48" t="s">
        <v>137</v>
      </c>
      <c r="N48" t="s">
        <v>224</v>
      </c>
      <c r="O48" t="s">
        <v>243</v>
      </c>
    </row>
    <row r="49" spans="1:15">
      <c r="A49" t="s">
        <v>11</v>
      </c>
      <c r="B49" t="s">
        <v>223</v>
      </c>
      <c r="K49" t="str">
        <f t="shared" si="0"/>
        <v>INVESTIMENTO-WRLD11</v>
      </c>
      <c r="L49" t="s">
        <v>102</v>
      </c>
      <c r="M49" t="s">
        <v>142</v>
      </c>
      <c r="N49" t="s">
        <v>224</v>
      </c>
      <c r="O49" t="s">
        <v>240</v>
      </c>
    </row>
    <row r="50" spans="1:15">
      <c r="A50" t="s">
        <v>11</v>
      </c>
      <c r="B50" t="s">
        <v>216</v>
      </c>
      <c r="K50" t="str">
        <f t="shared" si="0"/>
        <v>INVESTIMENTO-dividendos investimento</v>
      </c>
      <c r="L50" t="s">
        <v>102</v>
      </c>
      <c r="M50" t="s">
        <v>143</v>
      </c>
      <c r="N50" t="s">
        <v>224</v>
      </c>
      <c r="O50" t="s">
        <v>225</v>
      </c>
    </row>
    <row r="51" spans="1:15">
      <c r="A51" t="s">
        <v>10</v>
      </c>
      <c r="B51" t="s">
        <v>17</v>
      </c>
      <c r="K51" t="str">
        <f t="shared" si="0"/>
        <v>INVESTIMENTO-prev privada</v>
      </c>
      <c r="L51" t="s">
        <v>102</v>
      </c>
      <c r="M51" t="s">
        <v>68</v>
      </c>
      <c r="N51" t="s">
        <v>224</v>
      </c>
      <c r="O51" t="s">
        <v>239</v>
      </c>
    </row>
    <row r="52" spans="1:15">
      <c r="A52" t="s">
        <v>10</v>
      </c>
      <c r="B52" t="s">
        <v>25</v>
      </c>
      <c r="K52" t="str">
        <f t="shared" si="0"/>
        <v>INVESTIMENTO-Rent.inv.facil</v>
      </c>
      <c r="L52" t="s">
        <v>102</v>
      </c>
      <c r="M52" t="s">
        <v>168</v>
      </c>
      <c r="N52" t="s">
        <v>224</v>
      </c>
      <c r="O52" t="s">
        <v>225</v>
      </c>
    </row>
    <row r="53" spans="1:15">
      <c r="A53" t="s">
        <v>10</v>
      </c>
      <c r="B53" t="s">
        <v>27</v>
      </c>
      <c r="K53" t="str">
        <f t="shared" si="0"/>
        <v>INVESTIMENTO-Pgto Rend - b3</v>
      </c>
      <c r="L53" t="s">
        <v>102</v>
      </c>
      <c r="M53" t="s">
        <v>170</v>
      </c>
      <c r="N53" t="s">
        <v>224</v>
      </c>
      <c r="O53" t="s">
        <v>225</v>
      </c>
    </row>
    <row r="54" spans="1:15">
      <c r="A54" t="s">
        <v>10</v>
      </c>
      <c r="B54" t="s">
        <v>31</v>
      </c>
      <c r="K54" t="str">
        <f t="shared" si="0"/>
        <v>INVESTIMENTO-Aplicacao Cdb</v>
      </c>
      <c r="L54" t="s">
        <v>102</v>
      </c>
      <c r="M54" t="s">
        <v>189</v>
      </c>
      <c r="N54" t="s">
        <v>224</v>
      </c>
      <c r="O54" t="s">
        <v>241</v>
      </c>
    </row>
    <row r="55" spans="1:15">
      <c r="A55" t="s">
        <v>10</v>
      </c>
      <c r="B55" t="s">
        <v>34</v>
      </c>
      <c r="K55" t="str">
        <f t="shared" si="0"/>
        <v xml:space="preserve">LAZER-PIX </v>
      </c>
      <c r="L55" t="s">
        <v>76</v>
      </c>
      <c r="M55" t="s">
        <v>75</v>
      </c>
      <c r="N55" t="s">
        <v>12</v>
      </c>
      <c r="O55" t="s">
        <v>228</v>
      </c>
    </row>
    <row r="56" spans="1:15">
      <c r="A56" t="s">
        <v>10</v>
      </c>
      <c r="B56" t="s">
        <v>36</v>
      </c>
      <c r="K56" t="str">
        <f t="shared" si="0"/>
        <v>LAZER-cerveja</v>
      </c>
      <c r="L56" t="s">
        <v>76</v>
      </c>
      <c r="M56" t="s">
        <v>81</v>
      </c>
      <c r="N56" t="s">
        <v>12</v>
      </c>
      <c r="O56" t="s">
        <v>210</v>
      </c>
    </row>
    <row r="57" spans="1:15">
      <c r="A57" t="s">
        <v>10</v>
      </c>
      <c r="B57" t="s">
        <v>40</v>
      </c>
      <c r="K57" t="str">
        <f t="shared" si="0"/>
        <v>LAZER-c do padre</v>
      </c>
      <c r="L57" t="s">
        <v>76</v>
      </c>
      <c r="M57" t="s">
        <v>82</v>
      </c>
      <c r="N57" t="s">
        <v>12</v>
      </c>
      <c r="O57" t="s">
        <v>210</v>
      </c>
    </row>
    <row r="58" spans="1:15">
      <c r="A58" t="s">
        <v>238</v>
      </c>
      <c r="B58" t="s">
        <v>19</v>
      </c>
      <c r="K58" t="str">
        <f t="shared" si="0"/>
        <v>LAZER-dalton pipes</v>
      </c>
      <c r="L58" t="s">
        <v>76</v>
      </c>
      <c r="M58" t="s">
        <v>83</v>
      </c>
      <c r="N58" t="s">
        <v>12</v>
      </c>
      <c r="O58" t="s">
        <v>244</v>
      </c>
    </row>
    <row r="59" spans="1:15">
      <c r="A59" t="s">
        <v>238</v>
      </c>
      <c r="B59" t="s">
        <v>24</v>
      </c>
      <c r="K59" t="str">
        <f t="shared" si="0"/>
        <v>LAZER-Cinema</v>
      </c>
      <c r="L59" t="s">
        <v>76</v>
      </c>
      <c r="M59" t="s">
        <v>28</v>
      </c>
      <c r="N59" t="s">
        <v>12</v>
      </c>
      <c r="O59" t="s">
        <v>28</v>
      </c>
    </row>
    <row r="60" spans="1:15">
      <c r="A60" t="s">
        <v>238</v>
      </c>
      <c r="B60" t="s">
        <v>37</v>
      </c>
      <c r="K60" t="str">
        <f t="shared" si="0"/>
        <v>LAZER-role</v>
      </c>
      <c r="L60" t="s">
        <v>76</v>
      </c>
      <c r="M60" t="s">
        <v>87</v>
      </c>
      <c r="N60" t="s">
        <v>12</v>
      </c>
      <c r="O60" t="s">
        <v>210</v>
      </c>
    </row>
    <row r="61" spans="1:15">
      <c r="A61" t="s">
        <v>224</v>
      </c>
      <c r="B61" t="s">
        <v>243</v>
      </c>
      <c r="K61" t="str">
        <f t="shared" si="0"/>
        <v>LAZER-BOMA</v>
      </c>
      <c r="L61" t="s">
        <v>76</v>
      </c>
      <c r="M61" t="s">
        <v>91</v>
      </c>
      <c r="N61" t="s">
        <v>12</v>
      </c>
      <c r="O61" t="s">
        <v>35</v>
      </c>
    </row>
    <row r="62" spans="1:15">
      <c r="A62" t="s">
        <v>201</v>
      </c>
      <c r="B62" t="s">
        <v>186</v>
      </c>
      <c r="K62" t="str">
        <f t="shared" si="0"/>
        <v>LAZER-BELISCO BAR</v>
      </c>
      <c r="L62" t="s">
        <v>76</v>
      </c>
      <c r="M62" t="s">
        <v>92</v>
      </c>
      <c r="N62" t="s">
        <v>12</v>
      </c>
      <c r="O62" t="s">
        <v>210</v>
      </c>
    </row>
    <row r="63" spans="1:15">
      <c r="A63" t="s">
        <v>12</v>
      </c>
      <c r="B63" t="s">
        <v>244</v>
      </c>
      <c r="K63" t="str">
        <f t="shared" si="0"/>
        <v>LAZER-OXXO</v>
      </c>
      <c r="L63" t="s">
        <v>76</v>
      </c>
      <c r="M63" t="s">
        <v>93</v>
      </c>
      <c r="N63" t="s">
        <v>204</v>
      </c>
      <c r="O63" t="s">
        <v>111</v>
      </c>
    </row>
    <row r="64" spans="1:15">
      <c r="A64" t="s">
        <v>12</v>
      </c>
      <c r="B64" t="s">
        <v>245</v>
      </c>
      <c r="K64" t="str">
        <f t="shared" si="0"/>
        <v>LAZER-festa morita</v>
      </c>
      <c r="L64" t="s">
        <v>76</v>
      </c>
      <c r="M64" t="s">
        <v>96</v>
      </c>
      <c r="N64" t="s">
        <v>12</v>
      </c>
      <c r="O64" t="s">
        <v>210</v>
      </c>
    </row>
    <row r="65" spans="1:15">
      <c r="A65" t="s">
        <v>12</v>
      </c>
      <c r="B65" t="s">
        <v>246</v>
      </c>
      <c r="K65" t="str">
        <f t="shared" si="0"/>
        <v>LAZER-gastos cartao</v>
      </c>
      <c r="L65" t="s">
        <v>76</v>
      </c>
      <c r="M65" t="s">
        <v>105</v>
      </c>
      <c r="N65" t="s">
        <v>219</v>
      </c>
      <c r="O65" t="s">
        <v>221</v>
      </c>
    </row>
    <row r="66" spans="1:15">
      <c r="A66" t="s">
        <v>12</v>
      </c>
      <c r="B66" t="s">
        <v>248</v>
      </c>
      <c r="K66" t="str">
        <f t="shared" si="0"/>
        <v>LAZER-banca</v>
      </c>
      <c r="L66" t="s">
        <v>76</v>
      </c>
      <c r="M66" t="s">
        <v>106</v>
      </c>
      <c r="N66" t="s">
        <v>12</v>
      </c>
      <c r="O66" t="s">
        <v>244</v>
      </c>
    </row>
    <row r="67" spans="1:15">
      <c r="A67" t="s">
        <v>201</v>
      </c>
      <c r="B67" t="s">
        <v>250</v>
      </c>
      <c r="K67" t="str">
        <f t="shared" ref="K67:K130" si="1">L67&amp;"-"&amp;M67</f>
        <v>LAZER-pix</v>
      </c>
      <c r="L67" t="s">
        <v>76</v>
      </c>
      <c r="M67" t="s">
        <v>107</v>
      </c>
      <c r="N67" t="s">
        <v>12</v>
      </c>
      <c r="O67" t="s">
        <v>228</v>
      </c>
    </row>
    <row r="68" spans="1:15">
      <c r="A68" t="s">
        <v>201</v>
      </c>
      <c r="B68" t="s">
        <v>249</v>
      </c>
      <c r="K68" t="str">
        <f t="shared" si="1"/>
        <v>LAZER-bar</v>
      </c>
      <c r="L68" t="s">
        <v>76</v>
      </c>
      <c r="M68" t="s">
        <v>109</v>
      </c>
      <c r="N68" t="s">
        <v>12</v>
      </c>
      <c r="O68" t="s">
        <v>210</v>
      </c>
    </row>
    <row r="69" spans="1:15">
      <c r="K69" t="str">
        <f t="shared" si="1"/>
        <v>LAZER-estacionamento</v>
      </c>
      <c r="L69" t="s">
        <v>76</v>
      </c>
      <c r="M69" t="s">
        <v>112</v>
      </c>
      <c r="N69" t="s">
        <v>10</v>
      </c>
      <c r="O69" t="s">
        <v>40</v>
      </c>
    </row>
    <row r="70" spans="1:15">
      <c r="K70" t="str">
        <f t="shared" si="1"/>
        <v>LAZER-pod</v>
      </c>
      <c r="L70" t="s">
        <v>76</v>
      </c>
      <c r="M70" t="s">
        <v>113</v>
      </c>
      <c r="N70" t="s">
        <v>12</v>
      </c>
      <c r="O70" t="s">
        <v>244</v>
      </c>
    </row>
    <row r="71" spans="1:15">
      <c r="K71" t="str">
        <f t="shared" si="1"/>
        <v>LAZER-borda - bar</v>
      </c>
      <c r="L71" t="s">
        <v>76</v>
      </c>
      <c r="M71" t="s">
        <v>115</v>
      </c>
      <c r="N71" t="s">
        <v>12</v>
      </c>
      <c r="O71" t="s">
        <v>210</v>
      </c>
    </row>
    <row r="72" spans="1:15">
      <c r="K72" t="str">
        <f t="shared" si="1"/>
        <v>LAZER-presente cabral</v>
      </c>
      <c r="L72" t="s">
        <v>76</v>
      </c>
      <c r="M72" t="s">
        <v>121</v>
      </c>
      <c r="N72" t="s">
        <v>12</v>
      </c>
      <c r="O72" t="s">
        <v>247</v>
      </c>
    </row>
    <row r="73" spans="1:15">
      <c r="K73" t="str">
        <f t="shared" si="1"/>
        <v>LAZER-blacktag</v>
      </c>
      <c r="L73" t="s">
        <v>76</v>
      </c>
      <c r="M73" t="s">
        <v>122</v>
      </c>
      <c r="N73" t="s">
        <v>12</v>
      </c>
      <c r="O73" t="s">
        <v>246</v>
      </c>
    </row>
    <row r="74" spans="1:15">
      <c r="K74" t="str">
        <f t="shared" si="1"/>
        <v>LAZER-praia</v>
      </c>
      <c r="L74" t="s">
        <v>76</v>
      </c>
      <c r="M74" t="s">
        <v>125</v>
      </c>
      <c r="N74" t="s">
        <v>12</v>
      </c>
      <c r="O74" t="s">
        <v>246</v>
      </c>
    </row>
    <row r="75" spans="1:15">
      <c r="K75" t="str">
        <f t="shared" si="1"/>
        <v>LAZER-posto</v>
      </c>
      <c r="L75" t="s">
        <v>76</v>
      </c>
      <c r="M75" t="s">
        <v>130</v>
      </c>
      <c r="N75" t="s">
        <v>10</v>
      </c>
      <c r="O75" t="s">
        <v>27</v>
      </c>
    </row>
    <row r="76" spans="1:15">
      <c r="K76" t="str">
        <f t="shared" si="1"/>
        <v>LAZER-PIX LUCAS</v>
      </c>
      <c r="L76" t="s">
        <v>76</v>
      </c>
      <c r="M76" t="s">
        <v>136</v>
      </c>
      <c r="N76" t="s">
        <v>12</v>
      </c>
      <c r="O76" t="s">
        <v>228</v>
      </c>
    </row>
    <row r="77" spans="1:15">
      <c r="K77" t="str">
        <f t="shared" si="1"/>
        <v>LAZER-HEAVY HOUSE</v>
      </c>
      <c r="L77" t="s">
        <v>76</v>
      </c>
      <c r="M77" t="s">
        <v>140</v>
      </c>
      <c r="N77" t="s">
        <v>12</v>
      </c>
      <c r="O77" t="s">
        <v>211</v>
      </c>
    </row>
    <row r="78" spans="1:15">
      <c r="K78" t="str">
        <f t="shared" si="1"/>
        <v>LAZER-bar do velho</v>
      </c>
      <c r="L78" t="s">
        <v>76</v>
      </c>
      <c r="M78" t="s">
        <v>141</v>
      </c>
      <c r="N78" t="s">
        <v>12</v>
      </c>
      <c r="O78" t="s">
        <v>210</v>
      </c>
    </row>
    <row r="79" spans="1:15">
      <c r="K79" t="str">
        <f t="shared" si="1"/>
        <v>LAZER-bolão</v>
      </c>
      <c r="L79" t="s">
        <v>76</v>
      </c>
      <c r="M79" t="s">
        <v>146</v>
      </c>
      <c r="N79" t="s">
        <v>12</v>
      </c>
      <c r="O79" t="s">
        <v>247</v>
      </c>
    </row>
    <row r="80" spans="1:15">
      <c r="K80" t="str">
        <f t="shared" si="1"/>
        <v>LAZER-barbas</v>
      </c>
      <c r="L80" t="s">
        <v>76</v>
      </c>
      <c r="M80" t="s">
        <v>147</v>
      </c>
      <c r="N80" t="s">
        <v>12</v>
      </c>
      <c r="O80" t="s">
        <v>210</v>
      </c>
    </row>
    <row r="81" spans="11:15">
      <c r="K81" t="str">
        <f t="shared" si="1"/>
        <v>LAZER-bar osasco podre</v>
      </c>
      <c r="L81" t="s">
        <v>76</v>
      </c>
      <c r="M81" t="s">
        <v>148</v>
      </c>
      <c r="N81" t="s">
        <v>12</v>
      </c>
      <c r="O81" t="s">
        <v>210</v>
      </c>
    </row>
    <row r="82" spans="11:15">
      <c r="K82" t="str">
        <f t="shared" si="1"/>
        <v>LAZER-jogo</v>
      </c>
      <c r="L82" t="s">
        <v>76</v>
      </c>
      <c r="M82" t="s">
        <v>150</v>
      </c>
      <c r="N82" t="s">
        <v>12</v>
      </c>
      <c r="O82" t="s">
        <v>248</v>
      </c>
    </row>
    <row r="83" spans="11:15">
      <c r="K83" t="str">
        <f t="shared" si="1"/>
        <v>LAZER-martinelli</v>
      </c>
      <c r="L83" t="s">
        <v>76</v>
      </c>
      <c r="M83" t="s">
        <v>158</v>
      </c>
      <c r="N83" t="s">
        <v>12</v>
      </c>
      <c r="O83" t="s">
        <v>211</v>
      </c>
    </row>
    <row r="84" spans="11:15">
      <c r="K84" t="str">
        <f t="shared" si="1"/>
        <v>LAZER-centauro</v>
      </c>
      <c r="L84" t="s">
        <v>76</v>
      </c>
      <c r="M84" t="s">
        <v>160</v>
      </c>
      <c r="N84" t="s">
        <v>12</v>
      </c>
      <c r="O84" t="s">
        <v>247</v>
      </c>
    </row>
    <row r="85" spans="11:15">
      <c r="K85" t="str">
        <f t="shared" si="1"/>
        <v>LAZER-OF</v>
      </c>
      <c r="L85" t="s">
        <v>76</v>
      </c>
      <c r="M85" t="s">
        <v>163</v>
      </c>
      <c r="N85" t="s">
        <v>12</v>
      </c>
      <c r="O85" t="s">
        <v>247</v>
      </c>
    </row>
    <row r="86" spans="11:15">
      <c r="K86" t="str">
        <f t="shared" si="1"/>
        <v>LAZER-cu do padre</v>
      </c>
      <c r="L86" t="s">
        <v>76</v>
      </c>
      <c r="M86" t="s">
        <v>164</v>
      </c>
      <c r="N86" t="s">
        <v>12</v>
      </c>
      <c r="O86" t="s">
        <v>210</v>
      </c>
    </row>
    <row r="87" spans="11:15">
      <c r="K87" t="str">
        <f t="shared" si="1"/>
        <v>LAZER-bar leh</v>
      </c>
      <c r="L87" t="s">
        <v>76</v>
      </c>
      <c r="M87" t="s">
        <v>166</v>
      </c>
      <c r="N87" t="s">
        <v>12</v>
      </c>
      <c r="O87" t="s">
        <v>210</v>
      </c>
    </row>
    <row r="88" spans="11:15">
      <c r="K88" t="str">
        <f t="shared" si="1"/>
        <v>LAZER-SONDA AGUA BRANCA</v>
      </c>
      <c r="L88" t="s">
        <v>76</v>
      </c>
      <c r="M88" t="s">
        <v>172</v>
      </c>
      <c r="N88" t="s">
        <v>204</v>
      </c>
      <c r="O88" t="s">
        <v>22</v>
      </c>
    </row>
    <row r="89" spans="11:15">
      <c r="K89" t="str">
        <f t="shared" si="1"/>
        <v>LAZER-IOF S/ TRANS INTER REAIS</v>
      </c>
      <c r="L89" t="s">
        <v>76</v>
      </c>
      <c r="M89" t="s">
        <v>179</v>
      </c>
      <c r="N89" t="s">
        <v>219</v>
      </c>
      <c r="O89" t="s">
        <v>155</v>
      </c>
    </row>
    <row r="90" spans="11:15">
      <c r="K90" t="str">
        <f t="shared" si="1"/>
        <v>LAZER-D-EDGE FESTIVAL</v>
      </c>
      <c r="L90" t="s">
        <v>76</v>
      </c>
      <c r="M90" t="s">
        <v>184</v>
      </c>
      <c r="N90" t="s">
        <v>12</v>
      </c>
      <c r="O90" t="s">
        <v>35</v>
      </c>
    </row>
    <row r="91" spans="11:15">
      <c r="K91" t="str">
        <f t="shared" si="1"/>
        <v>LAZER-pix role</v>
      </c>
      <c r="L91" t="s">
        <v>76</v>
      </c>
      <c r="M91" t="s">
        <v>175</v>
      </c>
      <c r="N91" t="s">
        <v>12</v>
      </c>
      <c r="O91" t="s">
        <v>228</v>
      </c>
    </row>
    <row r="92" spans="11:15">
      <c r="K92" t="str">
        <f t="shared" si="1"/>
        <v>LAZER-TROFEU CERVEGAMES</v>
      </c>
      <c r="L92" t="s">
        <v>76</v>
      </c>
      <c r="M92" t="s">
        <v>187</v>
      </c>
      <c r="N92" t="s">
        <v>12</v>
      </c>
      <c r="O92" t="s">
        <v>247</v>
      </c>
    </row>
    <row r="93" spans="11:15">
      <c r="K93" t="str">
        <f t="shared" si="1"/>
        <v>LAZER-adesivo cervegames</v>
      </c>
      <c r="L93" t="s">
        <v>76</v>
      </c>
      <c r="M93" t="s">
        <v>190</v>
      </c>
      <c r="N93" t="s">
        <v>12</v>
      </c>
      <c r="O93" t="s">
        <v>247</v>
      </c>
    </row>
    <row r="94" spans="11:15">
      <c r="K94" t="str">
        <f t="shared" si="1"/>
        <v>LAZER-ZIG*AMATA</v>
      </c>
      <c r="L94" t="s">
        <v>76</v>
      </c>
      <c r="M94" t="s">
        <v>192</v>
      </c>
      <c r="N94" t="s">
        <v>12</v>
      </c>
      <c r="O94" t="s">
        <v>211</v>
      </c>
    </row>
    <row r="95" spans="11:15">
      <c r="K95" t="str">
        <f t="shared" si="1"/>
        <v>LAZER-CASA BATIDA</v>
      </c>
      <c r="L95" t="s">
        <v>76</v>
      </c>
      <c r="M95" t="s">
        <v>193</v>
      </c>
      <c r="N95" t="s">
        <v>12</v>
      </c>
      <c r="O95" t="s">
        <v>210</v>
      </c>
    </row>
    <row r="96" spans="11:15">
      <c r="K96" t="str">
        <f t="shared" si="1"/>
        <v>LAZER-carnaval - bebida</v>
      </c>
      <c r="L96" t="s">
        <v>76</v>
      </c>
      <c r="M96" t="s">
        <v>194</v>
      </c>
      <c r="N96" t="s">
        <v>12</v>
      </c>
      <c r="O96" t="s">
        <v>246</v>
      </c>
    </row>
    <row r="97" spans="11:15">
      <c r="K97" t="str">
        <f t="shared" si="1"/>
        <v>LAZER-formatura leh</v>
      </c>
      <c r="L97" t="s">
        <v>76</v>
      </c>
      <c r="M97" t="s">
        <v>195</v>
      </c>
      <c r="N97" t="s">
        <v>12</v>
      </c>
      <c r="O97" t="s">
        <v>246</v>
      </c>
    </row>
    <row r="98" spans="11:15">
      <c r="K98" t="str">
        <f t="shared" si="1"/>
        <v>LAZER-Cervegames</v>
      </c>
      <c r="L98" t="s">
        <v>76</v>
      </c>
      <c r="M98" t="s">
        <v>197</v>
      </c>
      <c r="N98" t="s">
        <v>12</v>
      </c>
      <c r="O98" t="s">
        <v>246</v>
      </c>
    </row>
    <row r="99" spans="11:15">
      <c r="K99" t="str">
        <f t="shared" si="1"/>
        <v>LAZER-chopeira</v>
      </c>
      <c r="L99" t="s">
        <v>76</v>
      </c>
      <c r="M99" t="s">
        <v>198</v>
      </c>
      <c r="N99" t="s">
        <v>12</v>
      </c>
      <c r="O99" t="s">
        <v>246</v>
      </c>
    </row>
    <row r="100" spans="11:15">
      <c r="K100" t="str">
        <f t="shared" si="1"/>
        <v>LAZER-sanduiche de metro</v>
      </c>
      <c r="L100" t="s">
        <v>76</v>
      </c>
      <c r="M100" t="s">
        <v>199</v>
      </c>
      <c r="N100" t="s">
        <v>12</v>
      </c>
      <c r="O100" t="s">
        <v>246</v>
      </c>
    </row>
    <row r="101" spans="11:15">
      <c r="K101" t="str">
        <f t="shared" si="1"/>
        <v>MARKETING-spyads - mkt</v>
      </c>
      <c r="L101" t="s">
        <v>118</v>
      </c>
      <c r="M101" t="s">
        <v>117</v>
      </c>
      <c r="N101" t="s">
        <v>206</v>
      </c>
      <c r="O101" t="s">
        <v>208</v>
      </c>
    </row>
    <row r="102" spans="11:15">
      <c r="K102" t="str">
        <f t="shared" si="1"/>
        <v>MARKETING-PEROLA NEGRA - MKT</v>
      </c>
      <c r="L102" t="s">
        <v>118</v>
      </c>
      <c r="M102" t="s">
        <v>135</v>
      </c>
      <c r="N102" t="s">
        <v>206</v>
      </c>
      <c r="O102" t="s">
        <v>209</v>
      </c>
    </row>
    <row r="103" spans="11:15">
      <c r="K103" t="str">
        <f t="shared" si="1"/>
        <v>NATI-flores nati</v>
      </c>
      <c r="L103" t="s">
        <v>120</v>
      </c>
      <c r="M103" t="s">
        <v>119</v>
      </c>
      <c r="N103" t="s">
        <v>233</v>
      </c>
      <c r="O103" t="s">
        <v>234</v>
      </c>
    </row>
    <row r="104" spans="11:15">
      <c r="K104" t="str">
        <f t="shared" si="1"/>
        <v>NATI-Presente nati</v>
      </c>
      <c r="L104" t="s">
        <v>120</v>
      </c>
      <c r="M104" t="s">
        <v>129</v>
      </c>
      <c r="N104" t="s">
        <v>233</v>
      </c>
      <c r="O104" t="s">
        <v>234</v>
      </c>
    </row>
    <row r="105" spans="11:15">
      <c r="K105" t="str">
        <f t="shared" si="1"/>
        <v xml:space="preserve">PIX ROLE-PIX </v>
      </c>
      <c r="L105" t="s">
        <v>77</v>
      </c>
      <c r="M105" t="s">
        <v>75</v>
      </c>
      <c r="N105" t="s">
        <v>12</v>
      </c>
      <c r="O105" t="s">
        <v>246</v>
      </c>
    </row>
    <row r="106" spans="11:15">
      <c r="K106" t="str">
        <f t="shared" si="1"/>
        <v>PIX ROLE-pix pedrinho</v>
      </c>
      <c r="L106" t="s">
        <v>77</v>
      </c>
      <c r="M106" t="s">
        <v>103</v>
      </c>
      <c r="N106" t="s">
        <v>12</v>
      </c>
      <c r="O106" t="s">
        <v>246</v>
      </c>
    </row>
    <row r="107" spans="11:15">
      <c r="K107" t="str">
        <f t="shared" si="1"/>
        <v>PIX ROLE-pix</v>
      </c>
      <c r="L107" t="s">
        <v>77</v>
      </c>
      <c r="M107" t="s">
        <v>107</v>
      </c>
      <c r="N107" t="s">
        <v>12</v>
      </c>
      <c r="O107" t="s">
        <v>246</v>
      </c>
    </row>
    <row r="108" spans="11:15">
      <c r="K108" t="str">
        <f t="shared" si="1"/>
        <v>PIX ROLE-pix leh role</v>
      </c>
      <c r="L108" t="s">
        <v>77</v>
      </c>
      <c r="M108" t="s">
        <v>110</v>
      </c>
      <c r="N108" t="s">
        <v>12</v>
      </c>
      <c r="O108" t="s">
        <v>246</v>
      </c>
    </row>
    <row r="109" spans="11:15">
      <c r="K109" t="str">
        <f t="shared" si="1"/>
        <v>PIX ROLE-pix zord</v>
      </c>
      <c r="L109" t="s">
        <v>77</v>
      </c>
      <c r="M109" t="s">
        <v>114</v>
      </c>
      <c r="N109" t="s">
        <v>12</v>
      </c>
      <c r="O109" t="s">
        <v>246</v>
      </c>
    </row>
    <row r="110" spans="11:15">
      <c r="K110" t="str">
        <f t="shared" si="1"/>
        <v>PIX ROLE-pix hamburguer guide</v>
      </c>
      <c r="L110" t="s">
        <v>77</v>
      </c>
      <c r="M110" t="s">
        <v>116</v>
      </c>
      <c r="N110" t="s">
        <v>12</v>
      </c>
      <c r="O110" t="s">
        <v>246</v>
      </c>
    </row>
    <row r="111" spans="11:15">
      <c r="K111" t="str">
        <f t="shared" si="1"/>
        <v>PIX ROLE-pix nati</v>
      </c>
      <c r="L111" t="s">
        <v>77</v>
      </c>
      <c r="M111" t="s">
        <v>126</v>
      </c>
      <c r="N111" t="s">
        <v>12</v>
      </c>
      <c r="O111" t="s">
        <v>246</v>
      </c>
    </row>
    <row r="112" spans="11:15">
      <c r="K112" t="str">
        <f t="shared" si="1"/>
        <v>PIX ROLE-pix renan</v>
      </c>
      <c r="L112" t="s">
        <v>77</v>
      </c>
      <c r="M112" t="s">
        <v>127</v>
      </c>
      <c r="N112" t="s">
        <v>12</v>
      </c>
      <c r="O112" t="s">
        <v>246</v>
      </c>
    </row>
    <row r="113" spans="11:15">
      <c r="K113" t="str">
        <f t="shared" si="1"/>
        <v>PIX ROLE-uber franco pix</v>
      </c>
      <c r="L113" t="s">
        <v>77</v>
      </c>
      <c r="M113" t="s">
        <v>131</v>
      </c>
      <c r="N113" t="s">
        <v>12</v>
      </c>
      <c r="O113" t="s">
        <v>246</v>
      </c>
    </row>
    <row r="114" spans="11:15">
      <c r="K114" t="str">
        <f t="shared" si="1"/>
        <v>PIX ROLE-PRESENTE MAMAE</v>
      </c>
      <c r="L114" t="s">
        <v>77</v>
      </c>
      <c r="M114" t="s">
        <v>157</v>
      </c>
      <c r="N114" t="s">
        <v>12</v>
      </c>
      <c r="O114" t="s">
        <v>246</v>
      </c>
    </row>
    <row r="115" spans="11:15">
      <c r="K115" t="str">
        <f t="shared" si="1"/>
        <v>PIX ROLE-Transfe Pix</v>
      </c>
      <c r="L115" t="s">
        <v>77</v>
      </c>
      <c r="M115" t="s">
        <v>173</v>
      </c>
      <c r="N115" t="s">
        <v>12</v>
      </c>
      <c r="O115" t="s">
        <v>246</v>
      </c>
    </row>
    <row r="116" spans="11:15">
      <c r="K116" t="str">
        <f t="shared" si="1"/>
        <v>PIX ROLE-Cota</v>
      </c>
      <c r="L116" t="s">
        <v>77</v>
      </c>
      <c r="M116" t="s">
        <v>180</v>
      </c>
      <c r="N116" t="s">
        <v>12</v>
      </c>
      <c r="O116" t="s">
        <v>246</v>
      </c>
    </row>
    <row r="117" spans="11:15">
      <c r="K117" t="str">
        <f t="shared" si="1"/>
        <v>PIX ROLE-Transfe Pix NICO</v>
      </c>
      <c r="L117" t="s">
        <v>77</v>
      </c>
      <c r="M117" t="s">
        <v>181</v>
      </c>
      <c r="N117" t="s">
        <v>12</v>
      </c>
      <c r="O117" t="s">
        <v>246</v>
      </c>
    </row>
    <row r="118" spans="11:15">
      <c r="K118" t="str">
        <f t="shared" si="1"/>
        <v>PIX ROLE-Transfe Pix Quental</v>
      </c>
      <c r="L118" t="s">
        <v>77</v>
      </c>
      <c r="M118" t="s">
        <v>182</v>
      </c>
      <c r="N118" t="s">
        <v>12</v>
      </c>
      <c r="O118" t="s">
        <v>246</v>
      </c>
    </row>
    <row r="119" spans="11:15">
      <c r="K119" t="str">
        <f t="shared" si="1"/>
        <v>PIX VA-pix</v>
      </c>
      <c r="L119" t="s">
        <v>156</v>
      </c>
      <c r="M119" t="s">
        <v>107</v>
      </c>
      <c r="N119" t="s">
        <v>201</v>
      </c>
      <c r="O119" t="s">
        <v>186</v>
      </c>
    </row>
    <row r="120" spans="11:15">
      <c r="K120" t="str">
        <f t="shared" si="1"/>
        <v>PLR-PLR</v>
      </c>
      <c r="L120" t="s">
        <v>95</v>
      </c>
      <c r="M120" t="s">
        <v>95</v>
      </c>
      <c r="N120" t="s">
        <v>201</v>
      </c>
      <c r="O120" t="s">
        <v>95</v>
      </c>
    </row>
    <row r="121" spans="11:15">
      <c r="K121" t="str">
        <f t="shared" si="1"/>
        <v>PRESENTE-INSIDER - ISA</v>
      </c>
      <c r="L121" t="s">
        <v>139</v>
      </c>
      <c r="M121" t="s">
        <v>138</v>
      </c>
      <c r="N121" t="s">
        <v>12</v>
      </c>
      <c r="O121" t="s">
        <v>247</v>
      </c>
    </row>
    <row r="122" spans="11:15">
      <c r="K122" t="str">
        <f t="shared" si="1"/>
        <v>PRESENTE-pix presente</v>
      </c>
      <c r="L122" t="s">
        <v>139</v>
      </c>
      <c r="M122" t="s">
        <v>145</v>
      </c>
      <c r="N122" t="s">
        <v>12</v>
      </c>
      <c r="O122" t="s">
        <v>228</v>
      </c>
    </row>
    <row r="123" spans="11:15">
      <c r="K123" t="str">
        <f t="shared" si="1"/>
        <v>PREV. PRIVADA-prev privada</v>
      </c>
      <c r="L123" t="s">
        <v>70</v>
      </c>
      <c r="M123" t="s">
        <v>68</v>
      </c>
      <c r="N123" t="s">
        <v>224</v>
      </c>
      <c r="O123" t="s">
        <v>239</v>
      </c>
    </row>
    <row r="124" spans="11:15">
      <c r="K124" t="str">
        <f t="shared" si="1"/>
        <v>REEMBOLSO-REEMBOLSO</v>
      </c>
      <c r="L124" t="s">
        <v>161</v>
      </c>
      <c r="M124" t="s">
        <v>161</v>
      </c>
      <c r="N124" t="s">
        <v>201</v>
      </c>
      <c r="O124" t="s">
        <v>250</v>
      </c>
    </row>
    <row r="125" spans="11:15">
      <c r="K125" t="str">
        <f t="shared" si="1"/>
        <v>SALÁRIO-Salario clt</v>
      </c>
      <c r="L125" t="s">
        <v>67</v>
      </c>
      <c r="M125" t="s">
        <v>66</v>
      </c>
      <c r="N125" t="s">
        <v>201</v>
      </c>
      <c r="O125" t="s">
        <v>7</v>
      </c>
    </row>
    <row r="126" spans="11:15">
      <c r="K126" t="str">
        <f t="shared" si="1"/>
        <v>SALÁRIO-13o salario</v>
      </c>
      <c r="L126" t="s">
        <v>67</v>
      </c>
      <c r="M126" t="s">
        <v>128</v>
      </c>
      <c r="N126" t="s">
        <v>201</v>
      </c>
      <c r="O126" t="s">
        <v>249</v>
      </c>
    </row>
    <row r="127" spans="11:15">
      <c r="K127" t="str">
        <f t="shared" si="1"/>
        <v>TRANSPORTE-Concerto carro</v>
      </c>
      <c r="L127" t="s">
        <v>72</v>
      </c>
      <c r="M127" t="s">
        <v>71</v>
      </c>
      <c r="N127" t="s">
        <v>10</v>
      </c>
      <c r="O127" t="s">
        <v>17</v>
      </c>
    </row>
    <row r="128" spans="11:15">
      <c r="K128" t="str">
        <f t="shared" si="1"/>
        <v>TRANSPORTE-uber</v>
      </c>
      <c r="L128" t="s">
        <v>72</v>
      </c>
      <c r="M128" t="s">
        <v>78</v>
      </c>
      <c r="N128" t="s">
        <v>10</v>
      </c>
      <c r="O128" t="s">
        <v>34</v>
      </c>
    </row>
    <row r="129" spans="11:15">
      <c r="K129" t="str">
        <f t="shared" si="1"/>
        <v>TRANSPORTE-99</v>
      </c>
      <c r="L129" t="s">
        <v>72</v>
      </c>
      <c r="M129">
        <v>99</v>
      </c>
      <c r="N129" t="s">
        <v>10</v>
      </c>
      <c r="O129" t="s">
        <v>34</v>
      </c>
    </row>
    <row r="130" spans="11:15">
      <c r="K130" t="str">
        <f t="shared" si="1"/>
        <v>VA-VA</v>
      </c>
      <c r="L130" t="s">
        <v>186</v>
      </c>
      <c r="M130" t="s">
        <v>186</v>
      </c>
      <c r="N130" t="s">
        <v>201</v>
      </c>
      <c r="O130" t="s">
        <v>186</v>
      </c>
    </row>
  </sheetData>
  <autoFilter ref="A1:B31" xr:uid="{5DE47D22-D9A5-4EA5-8F2D-F5F4FE50F23D}">
    <sortState xmlns:xlrd2="http://schemas.microsoft.com/office/spreadsheetml/2017/richdata2" ref="A2:B60">
      <sortCondition ref="A1:A3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0100-12C8-4B3A-8763-F19A76DDB001}">
  <dimension ref="A1:AC30"/>
  <sheetViews>
    <sheetView topLeftCell="C1" zoomScaleNormal="100" workbookViewId="0">
      <selection activeCell="V21" sqref="V21"/>
    </sheetView>
  </sheetViews>
  <sheetFormatPr defaultRowHeight="15"/>
  <cols>
    <col min="1" max="1" width="18" bestFit="1" customWidth="1"/>
    <col min="2" max="2" width="19.5703125" bestFit="1" customWidth="1"/>
    <col min="3" max="3" width="12.140625" bestFit="1" customWidth="1"/>
    <col min="4" max="4" width="8.42578125" bestFit="1" customWidth="1"/>
    <col min="5" max="5" width="12.140625" bestFit="1" customWidth="1"/>
    <col min="6" max="6" width="8.140625" bestFit="1" customWidth="1"/>
    <col min="7" max="7" width="18" bestFit="1" customWidth="1"/>
    <col min="8" max="8" width="13.85546875" bestFit="1" customWidth="1"/>
    <col min="10" max="10" width="18" bestFit="1" customWidth="1"/>
    <col min="11" max="11" width="10.7109375" bestFit="1" customWidth="1"/>
    <col min="12" max="12" width="10.7109375" customWidth="1"/>
    <col min="13" max="13" width="18" bestFit="1" customWidth="1"/>
    <col min="14" max="14" width="13.85546875" bestFit="1" customWidth="1"/>
    <col min="15" max="15" width="10.7109375" customWidth="1"/>
    <col min="16" max="16" width="15" bestFit="1" customWidth="1"/>
    <col min="18" max="18" width="18" bestFit="1" customWidth="1"/>
    <col min="19" max="19" width="13.85546875" bestFit="1" customWidth="1"/>
    <col min="20" max="20" width="12.5703125" bestFit="1" customWidth="1"/>
    <col min="21" max="21" width="21.7109375" bestFit="1" customWidth="1"/>
    <col min="22" max="22" width="13.85546875" bestFit="1" customWidth="1"/>
    <col min="23" max="23" width="9.140625" bestFit="1" customWidth="1"/>
    <col min="24" max="24" width="17.42578125" bestFit="1" customWidth="1"/>
    <col min="25" max="25" width="9.85546875" bestFit="1" customWidth="1"/>
    <col min="26" max="26" width="10" bestFit="1" customWidth="1"/>
    <col min="27" max="27" width="9" bestFit="1" customWidth="1"/>
    <col min="28" max="28" width="16.28515625" bestFit="1" customWidth="1"/>
    <col min="29" max="29" width="8.28515625" bestFit="1" customWidth="1"/>
  </cols>
  <sheetData>
    <row r="1" spans="1:23">
      <c r="A1" s="3" t="s">
        <v>1</v>
      </c>
      <c r="B1" t="s">
        <v>5</v>
      </c>
      <c r="J1" s="3" t="s">
        <v>43</v>
      </c>
      <c r="L1">
        <v>4</v>
      </c>
    </row>
    <row r="2" spans="1:23">
      <c r="J2" s="4" t="s">
        <v>44</v>
      </c>
      <c r="R2" s="3" t="s">
        <v>1</v>
      </c>
      <c r="S2" t="s">
        <v>6</v>
      </c>
    </row>
    <row r="3" spans="1:23">
      <c r="A3" s="3" t="s">
        <v>46</v>
      </c>
      <c r="B3" s="3" t="s">
        <v>47</v>
      </c>
      <c r="G3" s="3" t="s">
        <v>43</v>
      </c>
      <c r="H3" t="s">
        <v>46</v>
      </c>
      <c r="J3" s="4" t="s">
        <v>45</v>
      </c>
    </row>
    <row r="4" spans="1:23">
      <c r="A4" s="3" t="s">
        <v>43</v>
      </c>
      <c r="B4" t="s">
        <v>7</v>
      </c>
      <c r="C4" t="s">
        <v>50</v>
      </c>
      <c r="G4" s="4" t="s">
        <v>5</v>
      </c>
      <c r="H4" s="5">
        <v>3473.1</v>
      </c>
      <c r="R4" s="3" t="s">
        <v>43</v>
      </c>
      <c r="S4" t="s">
        <v>46</v>
      </c>
    </row>
    <row r="5" spans="1:23">
      <c r="A5" s="4" t="s">
        <v>44</v>
      </c>
      <c r="B5" s="5">
        <v>5208.1499999999996</v>
      </c>
      <c r="C5" s="5">
        <v>2022.29</v>
      </c>
      <c r="G5" s="4" t="s">
        <v>6</v>
      </c>
      <c r="H5" s="5">
        <v>4571.5199999999986</v>
      </c>
      <c r="V5" s="5"/>
      <c r="W5" s="5"/>
    </row>
    <row r="6" spans="1:23">
      <c r="A6" s="4" t="s">
        <v>45</v>
      </c>
      <c r="B6" s="5"/>
      <c r="C6" s="5">
        <v>3473.1</v>
      </c>
      <c r="G6" s="4" t="s">
        <v>251</v>
      </c>
      <c r="H6" s="5">
        <v>2860.0400000000009</v>
      </c>
      <c r="V6" s="5"/>
      <c r="W6" s="5"/>
    </row>
    <row r="7" spans="1:23">
      <c r="G7" s="7" t="s">
        <v>63</v>
      </c>
      <c r="H7" s="8">
        <f>H4-H5</f>
        <v>-1098.4199999999987</v>
      </c>
      <c r="V7" s="5"/>
      <c r="W7" s="5"/>
    </row>
    <row r="8" spans="1:23">
      <c r="V8" s="5"/>
      <c r="W8" s="5"/>
    </row>
    <row r="9" spans="1:23">
      <c r="V9" s="5"/>
      <c r="W9" s="5"/>
    </row>
    <row r="10" spans="1:23">
      <c r="V10" s="5"/>
      <c r="W10" s="5"/>
    </row>
    <row r="11" spans="1:23">
      <c r="V11" s="5"/>
      <c r="W11" s="5"/>
    </row>
    <row r="12" spans="1:23">
      <c r="V12" s="5"/>
      <c r="W12" s="5"/>
    </row>
    <row r="13" spans="1:23">
      <c r="V13" s="5"/>
      <c r="W13" s="5"/>
    </row>
    <row r="14" spans="1:23">
      <c r="V14" s="5"/>
      <c r="W14" s="5"/>
    </row>
    <row r="15" spans="1:23">
      <c r="V15" s="5"/>
      <c r="W15" s="5"/>
    </row>
    <row r="16" spans="1:23">
      <c r="J16" s="3" t="s">
        <v>1</v>
      </c>
      <c r="K16" t="s">
        <v>6</v>
      </c>
      <c r="M16" s="3" t="s">
        <v>1</v>
      </c>
      <c r="N16" t="s">
        <v>251</v>
      </c>
      <c r="V16" s="5"/>
      <c r="W16" s="5"/>
    </row>
    <row r="17" spans="1:29">
      <c r="V17" s="5"/>
      <c r="W17" s="5"/>
      <c r="X17" s="7" t="s">
        <v>58</v>
      </c>
      <c r="Y17" s="9">
        <f>SUM(Y21:Y35)</f>
        <v>4571.5199999999995</v>
      </c>
      <c r="Z17" s="7" t="s">
        <v>59</v>
      </c>
      <c r="AA17" s="9">
        <f>SUM(Z21:Z35)</f>
        <v>8412.0399999999991</v>
      </c>
      <c r="AB17" s="7" t="s">
        <v>61</v>
      </c>
      <c r="AC17" s="12">
        <f>Y17/AA17</f>
        <v>0.54344962696325738</v>
      </c>
    </row>
    <row r="18" spans="1:29">
      <c r="J18" s="3" t="s">
        <v>43</v>
      </c>
      <c r="M18" s="3" t="s">
        <v>43</v>
      </c>
      <c r="N18" t="s">
        <v>46</v>
      </c>
      <c r="R18" s="3" t="s">
        <v>1</v>
      </c>
      <c r="S18" t="s">
        <v>6</v>
      </c>
      <c r="U18" s="3" t="s">
        <v>1</v>
      </c>
      <c r="V18" t="s">
        <v>6</v>
      </c>
      <c r="W18" s="5"/>
      <c r="Z18" s="7" t="s">
        <v>60</v>
      </c>
      <c r="AA18" s="9">
        <f>SUMIF(Base!E:E,"Despesa",Base!I:I)</f>
        <v>21072.510000000002</v>
      </c>
      <c r="AB18" s="7" t="s">
        <v>62</v>
      </c>
      <c r="AC18" s="12">
        <f>AA17/AA18</f>
        <v>0.39919497012932953</v>
      </c>
    </row>
    <row r="19" spans="1:29">
      <c r="J19" s="4" t="s">
        <v>44</v>
      </c>
      <c r="M19" s="4" t="s">
        <v>224</v>
      </c>
      <c r="N19" s="16">
        <v>10790.53</v>
      </c>
      <c r="W19" s="5"/>
    </row>
    <row r="20" spans="1:29">
      <c r="J20" s="4" t="s">
        <v>45</v>
      </c>
      <c r="M20" s="4" t="s">
        <v>9</v>
      </c>
      <c r="N20" s="16">
        <v>10675.38</v>
      </c>
      <c r="R20" s="3" t="s">
        <v>43</v>
      </c>
      <c r="S20" t="s">
        <v>46</v>
      </c>
      <c r="U20" s="3" t="s">
        <v>43</v>
      </c>
      <c r="V20" t="s">
        <v>46</v>
      </c>
      <c r="W20" s="5"/>
      <c r="Y20" s="7" t="s">
        <v>53</v>
      </c>
      <c r="Z20" s="7" t="s">
        <v>54</v>
      </c>
      <c r="AA20" s="7" t="s">
        <v>55</v>
      </c>
      <c r="AB20" s="7" t="s">
        <v>56</v>
      </c>
      <c r="AC20" s="7" t="s">
        <v>57</v>
      </c>
    </row>
    <row r="21" spans="1:29">
      <c r="B21" s="3" t="s">
        <v>47</v>
      </c>
      <c r="M21" s="4" t="s">
        <v>252</v>
      </c>
      <c r="N21" s="16">
        <v>21465.91</v>
      </c>
      <c r="R21" s="4" t="s">
        <v>12</v>
      </c>
      <c r="S21" s="5">
        <v>4131.2000000000007</v>
      </c>
      <c r="U21" s="4" t="s">
        <v>12</v>
      </c>
      <c r="V21" s="5">
        <v>2980.0200000000004</v>
      </c>
      <c r="W21" s="5"/>
      <c r="X21" s="6" t="s">
        <v>12</v>
      </c>
      <c r="Y21" s="9">
        <f>IFERROR(VLOOKUP(X21,$U$21:$V$30,2,0),0)</f>
        <v>2980.0200000000004</v>
      </c>
      <c r="Z21" s="9">
        <f>IFERROR(VLOOKUP(X21,$R$21:$S$31,2,0),0)</f>
        <v>4131.2000000000007</v>
      </c>
      <c r="AA21" s="10">
        <f>IFERROR(Y21/Z21,0)</f>
        <v>0.72134488768396587</v>
      </c>
      <c r="AB21" s="11">
        <f>IF(AA21=0,0.1,ROUND(AA21*100,0))</f>
        <v>72</v>
      </c>
      <c r="AC21" s="11">
        <f>100-AB21</f>
        <v>28</v>
      </c>
    </row>
    <row r="22" spans="1:29">
      <c r="B22" t="s">
        <v>5</v>
      </c>
      <c r="D22" t="s">
        <v>6</v>
      </c>
      <c r="F22" t="s">
        <v>251</v>
      </c>
      <c r="R22" s="4" t="s">
        <v>204</v>
      </c>
      <c r="S22" s="5">
        <v>2546.5200000000004</v>
      </c>
      <c r="U22" s="4" t="s">
        <v>204</v>
      </c>
      <c r="V22" s="5">
        <v>1007.27</v>
      </c>
      <c r="W22" s="5"/>
      <c r="X22" s="6" t="s">
        <v>204</v>
      </c>
      <c r="Y22" s="9">
        <f t="shared" ref="Y22:Y30" si="0">IFERROR(VLOOKUP(X22,$U$21:$V$30,2,0),0)</f>
        <v>1007.27</v>
      </c>
      <c r="Z22" s="9">
        <f t="shared" ref="Z22:Z30" si="1">IFERROR(VLOOKUP(X22,$R$21:$S$31,2,0),0)</f>
        <v>2546.5200000000004</v>
      </c>
      <c r="AA22" s="10">
        <f t="shared" ref="AA22:AA30" si="2">IFERROR(Y22/Z22,0)</f>
        <v>0.39554764934106146</v>
      </c>
      <c r="AB22" s="11">
        <f t="shared" ref="AB22:AB30" si="3">IF(AA22=0,0.1,ROUND(AA22*100,0))</f>
        <v>40</v>
      </c>
      <c r="AC22" s="11">
        <f t="shared" ref="AC22:AC30" si="4">100-AB22</f>
        <v>60</v>
      </c>
    </row>
    <row r="23" spans="1:29">
      <c r="A23" s="3" t="s">
        <v>43</v>
      </c>
      <c r="B23" t="s">
        <v>52</v>
      </c>
      <c r="C23" t="s">
        <v>51</v>
      </c>
      <c r="D23" t="s">
        <v>52</v>
      </c>
      <c r="E23" t="s">
        <v>51</v>
      </c>
      <c r="F23" t="s">
        <v>52</v>
      </c>
      <c r="G23" t="s">
        <v>51</v>
      </c>
      <c r="R23" s="4" t="s">
        <v>10</v>
      </c>
      <c r="S23" s="5">
        <v>584.99</v>
      </c>
      <c r="U23" s="4" t="s">
        <v>10</v>
      </c>
      <c r="V23" s="5">
        <v>260.87</v>
      </c>
      <c r="X23" s="6" t="s">
        <v>10</v>
      </c>
      <c r="Y23" s="9">
        <f t="shared" si="0"/>
        <v>260.87</v>
      </c>
      <c r="Z23" s="9">
        <f t="shared" si="1"/>
        <v>584.99</v>
      </c>
      <c r="AA23" s="10">
        <f t="shared" si="2"/>
        <v>0.44593924682473207</v>
      </c>
      <c r="AB23" s="11">
        <f t="shared" si="3"/>
        <v>45</v>
      </c>
      <c r="AC23" s="11">
        <f t="shared" si="4"/>
        <v>55</v>
      </c>
    </row>
    <row r="24" spans="1:29">
      <c r="A24" s="4" t="s">
        <v>44</v>
      </c>
      <c r="B24" s="5">
        <v>7230.44</v>
      </c>
      <c r="C24" s="5">
        <v>7230.44</v>
      </c>
      <c r="D24" s="5">
        <v>3840.52</v>
      </c>
      <c r="E24" s="5">
        <v>3840.52</v>
      </c>
      <c r="F24" s="5">
        <v>2619.8500000000004</v>
      </c>
      <c r="G24" s="5">
        <v>2619.8500000000004</v>
      </c>
      <c r="R24" s="4" t="s">
        <v>238</v>
      </c>
      <c r="S24" s="5">
        <v>442.58</v>
      </c>
      <c r="U24" s="4" t="s">
        <v>206</v>
      </c>
      <c r="V24" s="5">
        <v>179.9</v>
      </c>
      <c r="X24" s="6" t="s">
        <v>238</v>
      </c>
      <c r="Y24" s="9">
        <f t="shared" si="0"/>
        <v>19.989999999999998</v>
      </c>
      <c r="Z24" s="9">
        <f t="shared" si="1"/>
        <v>442.58</v>
      </c>
      <c r="AA24" s="10">
        <f t="shared" si="2"/>
        <v>4.5166975462063351E-2</v>
      </c>
      <c r="AB24" s="11">
        <f t="shared" si="3"/>
        <v>5</v>
      </c>
      <c r="AC24" s="11">
        <f t="shared" si="4"/>
        <v>95</v>
      </c>
    </row>
    <row r="25" spans="1:29">
      <c r="A25" s="4" t="s">
        <v>45</v>
      </c>
      <c r="B25" s="5">
        <v>3473.1</v>
      </c>
      <c r="C25" s="5">
        <v>3473.1</v>
      </c>
      <c r="D25" s="5">
        <v>4571.5199999999986</v>
      </c>
      <c r="E25" s="5">
        <v>4571.5199999999986</v>
      </c>
      <c r="F25" s="5">
        <v>2860.0400000000009</v>
      </c>
      <c r="G25" s="5">
        <v>2860.0400000000009</v>
      </c>
      <c r="R25" s="4" t="s">
        <v>206</v>
      </c>
      <c r="S25" s="5">
        <v>359.79999999999995</v>
      </c>
      <c r="U25" s="4" t="s">
        <v>219</v>
      </c>
      <c r="V25" s="5">
        <v>103.47999999999999</v>
      </c>
      <c r="X25" s="6" t="s">
        <v>236</v>
      </c>
      <c r="Y25" s="9">
        <f t="shared" si="0"/>
        <v>0</v>
      </c>
      <c r="Z25" s="9">
        <f t="shared" si="1"/>
        <v>120</v>
      </c>
      <c r="AA25" s="10">
        <f t="shared" si="2"/>
        <v>0</v>
      </c>
      <c r="AB25" s="11">
        <f t="shared" si="3"/>
        <v>0.1</v>
      </c>
      <c r="AC25" s="11">
        <f t="shared" si="4"/>
        <v>99.9</v>
      </c>
    </row>
    <row r="26" spans="1:29">
      <c r="R26" s="4" t="s">
        <v>219</v>
      </c>
      <c r="S26" s="5">
        <v>206.95999999999998</v>
      </c>
      <c r="U26" s="4" t="s">
        <v>238</v>
      </c>
      <c r="V26" s="5">
        <v>19.989999999999998</v>
      </c>
      <c r="X26" s="6" t="s">
        <v>11</v>
      </c>
      <c r="Y26" s="9">
        <f t="shared" si="0"/>
        <v>0</v>
      </c>
      <c r="Z26" s="9">
        <f t="shared" si="1"/>
        <v>0</v>
      </c>
      <c r="AA26" s="10">
        <f t="shared" si="2"/>
        <v>0</v>
      </c>
      <c r="AB26" s="11">
        <f t="shared" si="3"/>
        <v>0.1</v>
      </c>
      <c r="AC26" s="11">
        <f t="shared" si="4"/>
        <v>99.9</v>
      </c>
    </row>
    <row r="27" spans="1:29">
      <c r="R27" s="4" t="s">
        <v>236</v>
      </c>
      <c r="S27" s="5">
        <v>120</v>
      </c>
      <c r="U27" s="4" t="s">
        <v>222</v>
      </c>
      <c r="V27" s="5">
        <v>19.989999999999998</v>
      </c>
      <c r="X27" s="6" t="s">
        <v>222</v>
      </c>
      <c r="Y27" s="9">
        <f t="shared" si="0"/>
        <v>19.989999999999998</v>
      </c>
      <c r="Z27" s="9">
        <f t="shared" si="1"/>
        <v>19.989999999999998</v>
      </c>
      <c r="AA27" s="10">
        <f t="shared" si="2"/>
        <v>1</v>
      </c>
      <c r="AB27" s="11">
        <f t="shared" si="3"/>
        <v>100</v>
      </c>
      <c r="AC27" s="11">
        <f t="shared" si="4"/>
        <v>0</v>
      </c>
    </row>
    <row r="28" spans="1:29">
      <c r="R28" s="4" t="s">
        <v>222</v>
      </c>
      <c r="S28" s="5">
        <v>19.989999999999998</v>
      </c>
      <c r="X28" s="6" t="s">
        <v>233</v>
      </c>
      <c r="Y28" s="9">
        <f t="shared" si="0"/>
        <v>0</v>
      </c>
      <c r="Z28" s="9">
        <f t="shared" si="1"/>
        <v>0</v>
      </c>
      <c r="AA28" s="10">
        <f t="shared" si="2"/>
        <v>0</v>
      </c>
      <c r="AB28" s="11">
        <f t="shared" si="3"/>
        <v>0.1</v>
      </c>
      <c r="AC28" s="11">
        <f t="shared" si="4"/>
        <v>99.9</v>
      </c>
    </row>
    <row r="29" spans="1:29">
      <c r="X29" s="6" t="s">
        <v>206</v>
      </c>
      <c r="Y29" s="9">
        <f t="shared" si="0"/>
        <v>179.9</v>
      </c>
      <c r="Z29" s="9">
        <f t="shared" si="1"/>
        <v>359.79999999999995</v>
      </c>
      <c r="AA29" s="10">
        <f t="shared" si="2"/>
        <v>0.50000000000000011</v>
      </c>
      <c r="AB29" s="11">
        <f t="shared" si="3"/>
        <v>50</v>
      </c>
      <c r="AC29" s="11">
        <f t="shared" si="4"/>
        <v>50</v>
      </c>
    </row>
    <row r="30" spans="1:29">
      <c r="X30" s="6" t="s">
        <v>219</v>
      </c>
      <c r="Y30" s="9">
        <f t="shared" si="0"/>
        <v>103.47999999999999</v>
      </c>
      <c r="Z30" s="9">
        <f t="shared" si="1"/>
        <v>206.95999999999998</v>
      </c>
      <c r="AA30" s="10">
        <f t="shared" si="2"/>
        <v>0.5</v>
      </c>
      <c r="AB30" s="11">
        <f t="shared" si="3"/>
        <v>50</v>
      </c>
      <c r="AC30" s="11">
        <f t="shared" si="4"/>
        <v>50</v>
      </c>
    </row>
  </sheetData>
  <pageMargins left="0.511811024" right="0.511811024" top="0.78740157499999996" bottom="0.78740157499999996" header="0.31496062000000002" footer="0.31496062000000002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 Gabarito</vt:lpstr>
      <vt:lpstr>Base</vt:lpstr>
      <vt:lpstr>Planilha2</vt:lpstr>
      <vt:lpstr>Análise 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Lucas Graziano</cp:lastModifiedBy>
  <dcterms:created xsi:type="dcterms:W3CDTF">2025-09-16T20:40:43Z</dcterms:created>
  <dcterms:modified xsi:type="dcterms:W3CDTF">2026-02-23T21:51:18Z</dcterms:modified>
</cp:coreProperties>
</file>