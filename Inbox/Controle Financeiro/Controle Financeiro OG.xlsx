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6e9c157ff2603468/Área de Trabalho/"/>
    </mc:Choice>
  </mc:AlternateContent>
  <xr:revisionPtr revIDLastSave="2094" documentId="13_ncr:2001_{7EF19EC1-5A9C-4938-AF7C-0780E66E8B09}" xr6:coauthVersionLast="47" xr6:coauthVersionMax="47" xr10:uidLastSave="{6D54BCF1-FEE8-4FB1-A39B-B070089CF425}"/>
  <bookViews>
    <workbookView xWindow="-28920" yWindow="-120" windowWidth="29040" windowHeight="15720" activeTab="3" xr2:uid="{448D84E1-647F-4F8F-81F8-D807A330B494}"/>
  </bookViews>
  <sheets>
    <sheet name="Dashboard" sheetId="3" r:id="rId1"/>
    <sheet name="Planilha1" sheetId="5" state="hidden" r:id="rId2"/>
    <sheet name="Análises" sheetId="2" r:id="rId3"/>
    <sheet name="Lançamentos" sheetId="1" r:id="rId4"/>
  </sheets>
  <externalReferences>
    <externalReference r:id="rId5"/>
  </externalReferences>
  <definedNames>
    <definedName name="_xlnm._FilterDatabase" localSheetId="3" hidden="1">Lançamentos!$B$2:$L$265</definedName>
    <definedName name="SegmentaçãodeDados_ANO">#N/A</definedName>
    <definedName name="SegmentaçãodeDados_Categoria">#N/A</definedName>
    <definedName name="SegmentaçãodeDados_Categoria1">#N/A</definedName>
    <definedName name="SegmentaçãodeDados_Mês">#N/A</definedName>
    <definedName name="SegmentaçãodeDados_Mês1">#N/A</definedName>
    <definedName name="SegmentaçãodeDados_Tipo">#N/A</definedName>
    <definedName name="Soma_Despesa">Análises!$BC$4</definedName>
    <definedName name="Soma_Receita">Análises!$BB$4</definedName>
    <definedName name="Soma_Saldo">Análises!$BD$4</definedName>
  </definedNames>
  <calcPr calcId="191029"/>
  <pivotCaches>
    <pivotCache cacheId="5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  <x14:slicerCache r:id="rId11"/>
        <x14:slicerCache r:id="rId1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3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R2" i="1" a="1"/>
  <c r="R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6" i="1"/>
  <c r="C209" i="1"/>
  <c r="C208" i="1"/>
  <c r="C206" i="1"/>
  <c r="C217" i="1"/>
  <c r="C215" i="1"/>
  <c r="C214" i="1"/>
  <c r="C213" i="1"/>
  <c r="C212" i="1"/>
  <c r="C211" i="1"/>
  <c r="C210" i="1"/>
  <c r="C207" i="1"/>
  <c r="C204" i="1"/>
  <c r="C205" i="1"/>
  <c r="C196" i="1"/>
  <c r="C195" i="1"/>
  <c r="C203" i="1"/>
  <c r="C185" i="1"/>
  <c r="C186" i="1"/>
  <c r="C187" i="1"/>
  <c r="C188" i="1"/>
  <c r="C177" i="1"/>
  <c r="C176" i="1"/>
  <c r="C202" i="1"/>
  <c r="C201" i="1"/>
  <c r="C200" i="1"/>
  <c r="C199" i="1"/>
  <c r="C198" i="1"/>
  <c r="C197" i="1"/>
  <c r="C194" i="1"/>
  <c r="C169" i="1"/>
  <c r="C170" i="1"/>
  <c r="C171" i="1"/>
  <c r="C172" i="1"/>
  <c r="C173" i="1"/>
  <c r="C174" i="1"/>
  <c r="C175" i="1"/>
  <c r="C178" i="1"/>
  <c r="C179" i="1"/>
  <c r="C180" i="1"/>
  <c r="C181" i="1"/>
  <c r="C182" i="1"/>
  <c r="C183" i="1"/>
  <c r="C184" i="1"/>
  <c r="C189" i="1"/>
  <c r="C190" i="1"/>
  <c r="C191" i="1"/>
  <c r="C165" i="1"/>
  <c r="C166" i="1"/>
  <c r="C164" i="1"/>
  <c r="C162" i="1"/>
  <c r="C156" i="1"/>
  <c r="C157" i="1"/>
  <c r="C158" i="1"/>
  <c r="C160" i="1"/>
  <c r="C159" i="1"/>
  <c r="C155" i="1"/>
  <c r="C148" i="1"/>
  <c r="C149" i="1"/>
  <c r="C150" i="1"/>
  <c r="C168" i="1"/>
  <c r="C154" i="1"/>
  <c r="C151" i="1"/>
  <c r="C152" i="1"/>
  <c r="C153" i="1"/>
  <c r="C161" i="1"/>
  <c r="C163" i="1"/>
  <c r="C167" i="1"/>
  <c r="C147" i="1"/>
  <c r="C125" i="1"/>
  <c r="C146" i="1"/>
  <c r="C127" i="1"/>
  <c r="C137" i="1"/>
  <c r="C139" i="1"/>
  <c r="C136" i="1"/>
  <c r="C138" i="1"/>
  <c r="C140" i="1"/>
  <c r="C141" i="1"/>
  <c r="C142" i="1"/>
  <c r="C143" i="1"/>
  <c r="C131" i="1"/>
  <c r="C132" i="1"/>
  <c r="C133" i="1"/>
  <c r="C134" i="1"/>
  <c r="C135" i="1"/>
  <c r="C124" i="1"/>
  <c r="C126" i="1"/>
  <c r="C128" i="1"/>
  <c r="C129" i="1"/>
  <c r="C130" i="1"/>
  <c r="C122" i="1"/>
  <c r="C121" i="1"/>
  <c r="C123" i="1"/>
  <c r="C110" i="1" l="1"/>
  <c r="C112" i="1"/>
  <c r="C119" i="1"/>
  <c r="C120" i="1"/>
  <c r="C109" i="1"/>
  <c r="C108" i="1"/>
  <c r="C107" i="1"/>
  <c r="C106" i="1"/>
  <c r="C104" i="1"/>
  <c r="C99" i="1"/>
  <c r="C111" i="1"/>
  <c r="C100" i="1"/>
  <c r="C101" i="1"/>
  <c r="C102" i="1"/>
  <c r="C103" i="1"/>
  <c r="C105" i="1"/>
  <c r="C113" i="1"/>
  <c r="C114" i="1"/>
  <c r="C115" i="1"/>
  <c r="C116" i="1"/>
  <c r="C117" i="1"/>
  <c r="C118" i="1"/>
  <c r="C97" i="1"/>
  <c r="C193" i="1"/>
  <c r="C144" i="1"/>
  <c r="C192" i="1"/>
  <c r="C145" i="1"/>
  <c r="C98" i="1"/>
  <c r="C96" i="1"/>
  <c r="C95" i="1"/>
  <c r="C94" i="1"/>
  <c r="C93" i="1"/>
  <c r="C92" i="1"/>
  <c r="C91" i="1"/>
  <c r="C72" i="1"/>
  <c r="C90" i="1"/>
  <c r="C89" i="1"/>
  <c r="C83" i="1"/>
  <c r="C88" i="1"/>
  <c r="C87" i="1"/>
  <c r="C86" i="1"/>
  <c r="C85" i="1"/>
  <c r="C84" i="1"/>
  <c r="C82" i="1"/>
  <c r="C80" i="1"/>
  <c r="C76" i="1"/>
  <c r="C77" i="1"/>
  <c r="C78" i="1"/>
  <c r="C74" i="1"/>
  <c r="C81" i="1"/>
  <c r="C79" i="1"/>
  <c r="C75" i="1"/>
  <c r="C73" i="1"/>
  <c r="C71" i="1"/>
  <c r="C67" i="1"/>
  <c r="C66" i="1"/>
  <c r="C61" i="1"/>
  <c r="C70" i="1"/>
  <c r="C69" i="1"/>
  <c r="C68" i="1"/>
  <c r="C65" i="1"/>
  <c r="C64" i="1"/>
  <c r="C63" i="1"/>
  <c r="C62" i="1"/>
  <c r="C53" i="1"/>
  <c r="C54" i="1"/>
  <c r="C60" i="1"/>
  <c r="C59" i="1"/>
  <c r="C58" i="1"/>
  <c r="C57" i="1"/>
  <c r="C56" i="1"/>
  <c r="C5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<sst xmlns="http://schemas.openxmlformats.org/spreadsheetml/2006/main" count="924" uniqueCount="189">
  <si>
    <t>Data</t>
  </si>
  <si>
    <t>Descrição</t>
  </si>
  <si>
    <t>Categoria</t>
  </si>
  <si>
    <t>Tipo</t>
  </si>
  <si>
    <t>Despesa</t>
  </si>
  <si>
    <t>Receita</t>
  </si>
  <si>
    <t>Mês</t>
  </si>
  <si>
    <t>Rótulos de Linha</t>
  </si>
  <si>
    <t>AGO</t>
  </si>
  <si>
    <t>SET</t>
  </si>
  <si>
    <t>Total Geral</t>
  </si>
  <si>
    <t>Soma de Receita</t>
  </si>
  <si>
    <t>Rótulos de Coluna</t>
  </si>
  <si>
    <t>Soma de Saldo</t>
  </si>
  <si>
    <t>CONTROLE FINANCEIRO</t>
  </si>
  <si>
    <t>Receitas</t>
  </si>
  <si>
    <t>Saldo Mês</t>
  </si>
  <si>
    <t>Saldo Acumulado</t>
  </si>
  <si>
    <t>Salario clt</t>
  </si>
  <si>
    <t>prev privada</t>
  </si>
  <si>
    <t>investimento</t>
  </si>
  <si>
    <t>PREV. PRIVADA</t>
  </si>
  <si>
    <t>Concerto carro</t>
  </si>
  <si>
    <t>curso</t>
  </si>
  <si>
    <t>EDUCAÇÃO</t>
  </si>
  <si>
    <t>SALÁRIO</t>
  </si>
  <si>
    <t xml:space="preserve">PIX </t>
  </si>
  <si>
    <t>LAZER</t>
  </si>
  <si>
    <t>PIX ROLE</t>
  </si>
  <si>
    <t>dalton pipes</t>
  </si>
  <si>
    <t>seguro cartão</t>
  </si>
  <si>
    <t>CARTÃO</t>
  </si>
  <si>
    <t>Ifood</t>
  </si>
  <si>
    <t>ALIMENTAÇÃO</t>
  </si>
  <si>
    <t>uber</t>
  </si>
  <si>
    <t>TRANSPORTE</t>
  </si>
  <si>
    <t>Caldo de cana</t>
  </si>
  <si>
    <t>pastel</t>
  </si>
  <si>
    <t>cerveja</t>
  </si>
  <si>
    <t>c do padre</t>
  </si>
  <si>
    <t>Gran coffee</t>
  </si>
  <si>
    <t>Cinema</t>
  </si>
  <si>
    <t>role</t>
  </si>
  <si>
    <t>Café</t>
  </si>
  <si>
    <t>barbearia</t>
  </si>
  <si>
    <t>BOMA</t>
  </si>
  <si>
    <t>CUIDADOS PESSOAIS</t>
  </si>
  <si>
    <t>BELISCO BAR</t>
  </si>
  <si>
    <t>UBER</t>
  </si>
  <si>
    <t>OXXO</t>
  </si>
  <si>
    <t>NUTRICAR</t>
  </si>
  <si>
    <t>festa morita</t>
  </si>
  <si>
    <t>sorvete</t>
  </si>
  <si>
    <t>farmacia</t>
  </si>
  <si>
    <t>cookie</t>
  </si>
  <si>
    <t>Apartamento</t>
  </si>
  <si>
    <t>APARTAMENTO</t>
  </si>
  <si>
    <t>PLR</t>
  </si>
  <si>
    <t>pix pedrinho</t>
  </si>
  <si>
    <t>INVESTIMENTO</t>
  </si>
  <si>
    <t>DENTISTA</t>
  </si>
  <si>
    <t>ifood</t>
  </si>
  <si>
    <t>banca</t>
  </si>
  <si>
    <t>pix</t>
  </si>
  <si>
    <t>gastos cartao</t>
  </si>
  <si>
    <t>OUT</t>
  </si>
  <si>
    <t>cabelo</t>
  </si>
  <si>
    <t>bar</t>
  </si>
  <si>
    <t>estacionamento</t>
  </si>
  <si>
    <t>mercado</t>
  </si>
  <si>
    <t>pix leh role</t>
  </si>
  <si>
    <t>pix zord</t>
  </si>
  <si>
    <t>pix hamburguer guide</t>
  </si>
  <si>
    <t>nutricar</t>
  </si>
  <si>
    <t>pod</t>
  </si>
  <si>
    <t>borda - bar</t>
  </si>
  <si>
    <t>NOV</t>
  </si>
  <si>
    <t>spyads - mkt</t>
  </si>
  <si>
    <t>MARKETING</t>
  </si>
  <si>
    <t>BAR</t>
  </si>
  <si>
    <t>flores nati</t>
  </si>
  <si>
    <t>NATI</t>
  </si>
  <si>
    <t>presente cabral</t>
  </si>
  <si>
    <t>aramis</t>
  </si>
  <si>
    <t>vans</t>
  </si>
  <si>
    <t>blacktag</t>
  </si>
  <si>
    <t>praia</t>
  </si>
  <si>
    <t>posto</t>
  </si>
  <si>
    <t>Gasolina</t>
  </si>
  <si>
    <t>13o salario</t>
  </si>
  <si>
    <t>pix nati</t>
  </si>
  <si>
    <t>pix renan</t>
  </si>
  <si>
    <t>uber franco pix</t>
  </si>
  <si>
    <t>Presente nati</t>
  </si>
  <si>
    <t>XPML11</t>
  </si>
  <si>
    <t>PVBI11</t>
  </si>
  <si>
    <t>Campo calculado</t>
  </si>
  <si>
    <t>Ordem de resolução</t>
  </si>
  <si>
    <t>Campo</t>
  </si>
  <si>
    <t>Fórmula</t>
  </si>
  <si>
    <t>Saldo</t>
  </si>
  <si>
    <t>=Receita-Despesa</t>
  </si>
  <si>
    <t>Item calculado</t>
  </si>
  <si>
    <t>Item</t>
  </si>
  <si>
    <t>Observação:</t>
  </si>
  <si>
    <t>Quando uma célula é atualizada por mais de uma fórmula,</t>
  </si>
  <si>
    <t>o valor é definido pela fórmula com a última ordem de resolução.</t>
  </si>
  <si>
    <t>Para alterar a ordem de resolução de vários itens ou campos calculados,</t>
  </si>
  <si>
    <t>na guia Opções, no grupo Cálculos, clique em Campos, Itens e Conjuntos e clique em Ordem de Resolução.</t>
  </si>
  <si>
    <t>DEZ</t>
  </si>
  <si>
    <t>PEROLA NEGRA - MKT</t>
  </si>
  <si>
    <t>PRESENTE</t>
  </si>
  <si>
    <t>INSIDER - ISA</t>
  </si>
  <si>
    <t>HEAVY HOUSE</t>
  </si>
  <si>
    <t>bar do velho</t>
  </si>
  <si>
    <t>Investimento FIIs</t>
  </si>
  <si>
    <t>WRLD11</t>
  </si>
  <si>
    <t>aplicação CDB</t>
  </si>
  <si>
    <t>PIX LUCAS</t>
  </si>
  <si>
    <t>dividendos investimento</t>
  </si>
  <si>
    <t>JAN</t>
  </si>
  <si>
    <t>pix presente</t>
  </si>
  <si>
    <t>bolão</t>
  </si>
  <si>
    <t>jogo</t>
  </si>
  <si>
    <t>mc donalds</t>
  </si>
  <si>
    <t>barbas</t>
  </si>
  <si>
    <t>bar osasco podre</t>
  </si>
  <si>
    <t>ifood - cabana</t>
  </si>
  <si>
    <t>patties</t>
  </si>
  <si>
    <t>renner</t>
  </si>
  <si>
    <t>chatgpt</t>
  </si>
  <si>
    <t>ASSINATURA</t>
  </si>
  <si>
    <t>IOF</t>
  </si>
  <si>
    <t>martinelli</t>
  </si>
  <si>
    <t>suco - tambore</t>
  </si>
  <si>
    <t>centauro</t>
  </si>
  <si>
    <t>casa pilão</t>
  </si>
  <si>
    <t>OF</t>
  </si>
  <si>
    <t>cu do padre</t>
  </si>
  <si>
    <t>fatz</t>
  </si>
  <si>
    <t>bar leh</t>
  </si>
  <si>
    <t>PIX VA</t>
  </si>
  <si>
    <t>PRESENTE MAMAE</t>
  </si>
  <si>
    <t>REEMBOLSO</t>
  </si>
  <si>
    <t>PIX ZORD</t>
  </si>
  <si>
    <t>CURSO</t>
  </si>
  <si>
    <t>PIX</t>
  </si>
  <si>
    <t>Rent.inv.facil</t>
  </si>
  <si>
    <t>Pgto Rend - b3</t>
  </si>
  <si>
    <t>Transfe Pix</t>
  </si>
  <si>
    <t>pix role</t>
  </si>
  <si>
    <t>IFD*iFood</t>
  </si>
  <si>
    <t>OUTBACK BOURBOUN SP</t>
  </si>
  <si>
    <t>SONDA AGUA BRANCA</t>
  </si>
  <si>
    <t>GRAN  COFFEE</t>
  </si>
  <si>
    <t>COZINHA 212</t>
  </si>
  <si>
    <t>OPENAI *CHATGPT SUBSCR</t>
  </si>
  <si>
    <t>KIWIFY *HelpspyAds</t>
  </si>
  <si>
    <t>IOF S/ TRANS INTER REAIS</t>
  </si>
  <si>
    <t>Transfe Pix NICO</t>
  </si>
  <si>
    <t>Transfe Pix Quental</t>
  </si>
  <si>
    <t>Cota</t>
  </si>
  <si>
    <t>THE CHAMPS - A BARBEAR</t>
  </si>
  <si>
    <t>D-EDGE FESTIVAL</t>
  </si>
  <si>
    <t>benihana</t>
  </si>
  <si>
    <t>VA</t>
  </si>
  <si>
    <t>TROFEU CERVEGAMES</t>
  </si>
  <si>
    <t>Gasto c Credito</t>
  </si>
  <si>
    <t>Aplicacao Cdb</t>
  </si>
  <si>
    <t>adesivo cervegames</t>
  </si>
  <si>
    <t>CAPINHA CELULAR</t>
  </si>
  <si>
    <t>ZIG*AMATA</t>
  </si>
  <si>
    <t>CASA BATIDA</t>
  </si>
  <si>
    <t>carnaval - bebida</t>
  </si>
  <si>
    <t>formatura leh</t>
  </si>
  <si>
    <t>IFD*MANIHI SUSHI - TAMBOR</t>
  </si>
  <si>
    <t>Cervegames</t>
  </si>
  <si>
    <t>chopeira</t>
  </si>
  <si>
    <t>sanduiche de metro</t>
  </si>
  <si>
    <t>FEV</t>
  </si>
  <si>
    <t>ANO</t>
  </si>
  <si>
    <t>2026</t>
  </si>
  <si>
    <t>2025</t>
  </si>
  <si>
    <t>Transferência</t>
  </si>
  <si>
    <t>Soma de Transferência</t>
  </si>
  <si>
    <t>Aporte</t>
  </si>
  <si>
    <t>Coluna1</t>
  </si>
  <si>
    <t>Coluna2</t>
  </si>
  <si>
    <t>Coluna12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</si>
</sst>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#,##0.00"/>
    <numFmt numFmtId="165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8"/>
      <color rgb="FF002060"/>
      <name val="Century Gothic"/>
      <family val="2"/>
    </font>
    <font>
      <b/>
      <sz val="18"/>
      <color theme="0"/>
      <name val="Montserrat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0" borderId="8" xfId="0" applyBorder="1"/>
    <xf numFmtId="165" fontId="0" fillId="0" borderId="0" xfId="0" applyNumberForma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4" fillId="0" borderId="9" xfId="0" applyFont="1" applyBorder="1"/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left" inden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&quot;R$&quot;#,##0.00"/>
    </dxf>
    <dxf>
      <numFmt numFmtId="3" formatCode="#,##0"/>
    </dxf>
    <dxf>
      <font>
        <color theme="1"/>
        <name val="Montserrat"/>
      </font>
      <border>
        <bottom style="thin">
          <color theme="4"/>
        </bottom>
        <vertical/>
        <horizontal/>
      </border>
    </dxf>
    <dxf>
      <font>
        <color theme="1"/>
        <name val="Montserrat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1 2" pivot="0" table="0" count="10" xr9:uid="{C261B172-0157-4150-AE67-7D635761E898}">
      <tableStyleElement type="wholeTable" dxfId="21"/>
      <tableStyleElement type="headerRow" dxfId="20"/>
    </tableStyle>
  </tableStyles>
  <colors>
    <mruColors>
      <color rgb="FF1A5A48"/>
      <color rgb="FFFFBE05"/>
      <color rgb="FFCC9900"/>
      <color rgb="FF4E67C8"/>
      <color rgb="FFF14124"/>
      <color rgb="FF5DCEAF"/>
      <color rgb="FFF9F9F9"/>
      <color rgb="FF3AC09A"/>
      <color rgb="FF2F9D7E"/>
      <color rgb="FF2A8A6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 OG.xlsx]Análises!Receita x Despesa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pt-BR" sz="1200" b="1">
                <a:latin typeface="Montserrat" panose="00000500000000000000" pitchFamily="2" charset="0"/>
              </a:rPr>
              <a:t>Análise de Receitas x Despesas</a:t>
            </a:r>
          </a:p>
        </c:rich>
      </c:tx>
      <c:layout>
        <c:manualLayout>
          <c:xMode val="edge"/>
          <c:yMode val="edge"/>
          <c:x val="1.5263888724788805E-2"/>
          <c:y val="2.41488405228952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AC09A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Montserrat" panose="00000500000000000000" pitchFamily="2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14124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Montserrat" panose="00000500000000000000" pitchFamily="2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Montserrat" panose="00000500000000000000" pitchFamily="2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Montserrat" panose="00000500000000000000" pitchFamily="2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3389325056296026E-2"/>
          <c:y val="0.12003213458721232"/>
          <c:w val="0.97322134988740794"/>
          <c:h val="0.68926831891459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Análises!$C$3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rgbClr val="3AC09A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Análises!$B$4:$B$13</c:f>
              <c:multiLvlStrCache>
                <c:ptCount val="7"/>
                <c:lvl>
                  <c:pt idx="0">
                    <c:v>AGO</c:v>
                  </c:pt>
                  <c:pt idx="1">
                    <c:v>SET</c:v>
                  </c:pt>
                  <c:pt idx="2">
                    <c:v>OUT</c:v>
                  </c:pt>
                  <c:pt idx="3">
                    <c:v>NOV</c:v>
                  </c:pt>
                  <c:pt idx="4">
                    <c:v>DEZ</c:v>
                  </c:pt>
                  <c:pt idx="5">
                    <c:v>JAN</c:v>
                  </c:pt>
                  <c:pt idx="6">
                    <c:v>FEV</c:v>
                  </c:pt>
                </c:lvl>
                <c:lvl>
                  <c:pt idx="0">
                    <c:v>2025</c:v>
                  </c:pt>
                  <c:pt idx="5">
                    <c:v>2026</c:v>
                  </c:pt>
                </c:lvl>
              </c:multiLvlStrCache>
            </c:multiLvlStrRef>
          </c:cat>
          <c:val>
            <c:numRef>
              <c:f>Análises!$C$4:$C$13</c:f>
              <c:numCache>
                <c:formatCode>#,##0</c:formatCode>
                <c:ptCount val="7"/>
                <c:pt idx="0">
                  <c:v>4352.2299999999996</c:v>
                </c:pt>
                <c:pt idx="1">
                  <c:v>8862.99</c:v>
                </c:pt>
                <c:pt idx="2">
                  <c:v>5266.11</c:v>
                </c:pt>
                <c:pt idx="3">
                  <c:v>7227.0700000000006</c:v>
                </c:pt>
                <c:pt idx="4">
                  <c:v>6347.35</c:v>
                </c:pt>
                <c:pt idx="5">
                  <c:v>7247.99</c:v>
                </c:pt>
                <c:pt idx="6">
                  <c:v>3107.9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5-4F76-8925-91379708907D}"/>
            </c:ext>
          </c:extLst>
        </c:ser>
        <c:ser>
          <c:idx val="1"/>
          <c:order val="1"/>
          <c:tx>
            <c:strRef>
              <c:f>Análises!$D$3</c:f>
              <c:strCache>
                <c:ptCount val="1"/>
                <c:pt idx="0">
                  <c:v>Aporte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Análises!$B$4:$B$13</c:f>
              <c:multiLvlStrCache>
                <c:ptCount val="7"/>
                <c:lvl>
                  <c:pt idx="0">
                    <c:v>AGO</c:v>
                  </c:pt>
                  <c:pt idx="1">
                    <c:v>SET</c:v>
                  </c:pt>
                  <c:pt idx="2">
                    <c:v>OUT</c:v>
                  </c:pt>
                  <c:pt idx="3">
                    <c:v>NOV</c:v>
                  </c:pt>
                  <c:pt idx="4">
                    <c:v>DEZ</c:v>
                  </c:pt>
                  <c:pt idx="5">
                    <c:v>JAN</c:v>
                  </c:pt>
                  <c:pt idx="6">
                    <c:v>FEV</c:v>
                  </c:pt>
                </c:lvl>
                <c:lvl>
                  <c:pt idx="0">
                    <c:v>2025</c:v>
                  </c:pt>
                  <c:pt idx="5">
                    <c:v>2026</c:v>
                  </c:pt>
                </c:lvl>
              </c:multiLvlStrCache>
            </c:multiLvlStrRef>
          </c:cat>
          <c:val>
            <c:numRef>
              <c:f>Análises!$D$4:$D$13</c:f>
              <c:numCache>
                <c:formatCode>#,##0</c:formatCode>
                <c:ptCount val="7"/>
                <c:pt idx="0">
                  <c:v>2358.14</c:v>
                </c:pt>
                <c:pt idx="1">
                  <c:v>2960.48</c:v>
                </c:pt>
                <c:pt idx="2">
                  <c:v>3623.9899999999993</c:v>
                </c:pt>
                <c:pt idx="3">
                  <c:v>5986.8899999999994</c:v>
                </c:pt>
                <c:pt idx="4">
                  <c:v>13688.809999999998</c:v>
                </c:pt>
                <c:pt idx="5">
                  <c:v>6442.82</c:v>
                </c:pt>
                <c:pt idx="6">
                  <c:v>7796.76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5-4F76-8925-9137970890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22687712"/>
        <c:axId val="122679808"/>
      </c:barChart>
      <c:catAx>
        <c:axId val="12268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22679808"/>
        <c:crosses val="autoZero"/>
        <c:auto val="1"/>
        <c:lblAlgn val="ctr"/>
        <c:lblOffset val="100"/>
        <c:noMultiLvlLbl val="0"/>
      </c:catAx>
      <c:valAx>
        <c:axId val="12267980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2268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3226410996728832"/>
          <c:y val="3.9595641039428489E-2"/>
          <c:w val="0.13131223132066619"/>
          <c:h val="6.9359909664487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F9F9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 OG.xlsx]Análises!Saldo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l" rtl="0">
              <a:def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ontserrat" panose="00000500000000000000" pitchFamily="2" charset="0"/>
                <a:ea typeface="+mn-ea"/>
                <a:cs typeface="+mn-cs"/>
              </a:rPr>
              <a:t>Análise de Saldo</a:t>
            </a:r>
          </a:p>
        </c:rich>
      </c:tx>
      <c:layout>
        <c:manualLayout>
          <c:xMode val="edge"/>
          <c:yMode val="edge"/>
          <c:x val="2.5083540054530572E-2"/>
          <c:y val="3.3241606276294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 rtl="0">
            <a:defRPr 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4E67C8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4E67C8"/>
            </a:solidFill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"/>
        <c:spPr>
          <a:ln w="28575" cap="rnd">
            <a:solidFill>
              <a:srgbClr val="CC9900"/>
            </a:solidFill>
            <a:round/>
          </a:ln>
          <a:effectLst/>
        </c:spPr>
        <c:marker>
          <c:symbol val="circle"/>
          <c:size val="5"/>
          <c:spPr>
            <a:solidFill>
              <a:srgbClr val="CC9900"/>
            </a:solidFill>
            <a:ln w="38100">
              <a:solidFill>
                <a:srgbClr val="CC9900"/>
              </a:solidFill>
            </a:ln>
            <a:effectLst/>
          </c:spPr>
        </c:marker>
        <c:dLbl>
          <c:idx val="0"/>
          <c:spPr>
            <a:solidFill>
              <a:srgbClr val="FFC000"/>
            </a:solidFill>
            <a:ln>
              <a:solidFill>
                <a:srgbClr val="FFBE05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3544415502722748E-2"/>
          <c:y val="0.19390936994505101"/>
          <c:w val="0.97291116899455454"/>
          <c:h val="0.677566016434091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Análises!$AX$3</c:f>
              <c:strCache>
                <c:ptCount val="1"/>
                <c:pt idx="0">
                  <c:v>Saldo Mês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4E67C8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47D-405F-82DA-C6E2EEF4AB85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Análises!$AW$4:$AW$13</c:f>
              <c:multiLvlStrCache>
                <c:ptCount val="7"/>
                <c:lvl>
                  <c:pt idx="0">
                    <c:v>AGO</c:v>
                  </c:pt>
                  <c:pt idx="1">
                    <c:v>SET</c:v>
                  </c:pt>
                  <c:pt idx="2">
                    <c:v>OUT</c:v>
                  </c:pt>
                  <c:pt idx="3">
                    <c:v>NOV</c:v>
                  </c:pt>
                  <c:pt idx="4">
                    <c:v>DEZ</c:v>
                  </c:pt>
                  <c:pt idx="5">
                    <c:v>JAN</c:v>
                  </c:pt>
                  <c:pt idx="6">
                    <c:v>FEV</c:v>
                  </c:pt>
                </c:lvl>
                <c:lvl>
                  <c:pt idx="0">
                    <c:v>2025</c:v>
                  </c:pt>
                  <c:pt idx="5">
                    <c:v>2026</c:v>
                  </c:pt>
                </c:lvl>
              </c:multiLvlStrCache>
            </c:multiLvlStrRef>
          </c:cat>
          <c:val>
            <c:numRef>
              <c:f>Análises!$AX$4:$AX$13</c:f>
              <c:numCache>
                <c:formatCode>#,##0</c:formatCode>
                <c:ptCount val="7"/>
                <c:pt idx="0">
                  <c:v>1994.0899999999997</c:v>
                </c:pt>
                <c:pt idx="1">
                  <c:v>5902.51</c:v>
                </c:pt>
                <c:pt idx="2">
                  <c:v>1642.1200000000003</c:v>
                </c:pt>
                <c:pt idx="3">
                  <c:v>1240.1800000000012</c:v>
                </c:pt>
                <c:pt idx="4">
                  <c:v>-7341.4599999999973</c:v>
                </c:pt>
                <c:pt idx="5">
                  <c:v>805.17000000000007</c:v>
                </c:pt>
                <c:pt idx="6">
                  <c:v>-4688.8600000000006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8-4CF1-BA6B-82DA3BA8C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305024"/>
        <c:axId val="37312928"/>
      </c:barChart>
      <c:lineChart>
        <c:grouping val="standard"/>
        <c:varyColors val="0"/>
        <c:ser>
          <c:idx val="1"/>
          <c:order val="1"/>
          <c:tx>
            <c:strRef>
              <c:f>Análises!$AY$3</c:f>
              <c:strCache>
                <c:ptCount val="1"/>
                <c:pt idx="0">
                  <c:v>Saldo Acumulado</c:v>
                </c:pt>
              </c:strCache>
            </c:strRef>
          </c:tx>
          <c:spPr>
            <a:ln w="28575" cap="rnd">
              <a:solidFill>
                <a:srgbClr val="CC99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9900"/>
              </a:solidFill>
              <a:ln w="38100">
                <a:solidFill>
                  <a:srgbClr val="CC9900"/>
                </a:solidFill>
              </a:ln>
              <a:effectLst/>
            </c:spPr>
          </c:marker>
          <c:dLbls>
            <c:spPr>
              <a:solidFill>
                <a:srgbClr val="FFC000"/>
              </a:solidFill>
              <a:ln>
                <a:solidFill>
                  <a:srgbClr val="FFBE05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Análises!$AW$4:$AW$13</c:f>
              <c:multiLvlStrCache>
                <c:ptCount val="7"/>
                <c:lvl>
                  <c:pt idx="0">
                    <c:v>AGO</c:v>
                  </c:pt>
                  <c:pt idx="1">
                    <c:v>SET</c:v>
                  </c:pt>
                  <c:pt idx="2">
                    <c:v>OUT</c:v>
                  </c:pt>
                  <c:pt idx="3">
                    <c:v>NOV</c:v>
                  </c:pt>
                  <c:pt idx="4">
                    <c:v>DEZ</c:v>
                  </c:pt>
                  <c:pt idx="5">
                    <c:v>JAN</c:v>
                  </c:pt>
                  <c:pt idx="6">
                    <c:v>FEV</c:v>
                  </c:pt>
                </c:lvl>
                <c:lvl>
                  <c:pt idx="0">
                    <c:v>2025</c:v>
                  </c:pt>
                  <c:pt idx="5">
                    <c:v>2026</c:v>
                  </c:pt>
                </c:lvl>
              </c:multiLvlStrCache>
            </c:multiLvlStrRef>
          </c:cat>
          <c:val>
            <c:numRef>
              <c:f>Análises!$AY$4:$AY$13</c:f>
              <c:numCache>
                <c:formatCode>#,##0</c:formatCode>
                <c:ptCount val="7"/>
                <c:pt idx="0">
                  <c:v>1994.0899999999997</c:v>
                </c:pt>
                <c:pt idx="1">
                  <c:v>7896.6</c:v>
                </c:pt>
                <c:pt idx="2">
                  <c:v>9538.7200000000012</c:v>
                </c:pt>
                <c:pt idx="3">
                  <c:v>10778.900000000001</c:v>
                </c:pt>
                <c:pt idx="4">
                  <c:v>3437.4400000000041</c:v>
                </c:pt>
                <c:pt idx="5">
                  <c:v>805.17000000000007</c:v>
                </c:pt>
                <c:pt idx="6">
                  <c:v>-3883.6900000000005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69-4B69-96C3-51D5222E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05024"/>
        <c:axId val="37312928"/>
      </c:lineChart>
      <c:catAx>
        <c:axId val="3730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312928"/>
        <c:crosses val="autoZero"/>
        <c:auto val="1"/>
        <c:lblAlgn val="ctr"/>
        <c:lblOffset val="100"/>
        <c:noMultiLvlLbl val="0"/>
      </c:catAx>
      <c:valAx>
        <c:axId val="373129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73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6590802890428278"/>
          <c:y val="4.2244759430233619E-2"/>
          <c:w val="0.23409197109571733"/>
          <c:h val="9.3410222361043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F9F9"/>
    </a:solidFill>
    <a:ln w="9525" cap="flat" cmpd="sng" algn="ctr">
      <a:solidFill>
        <a:srgbClr val="4E67C8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 OG.xlsx]Análises!Tabela dinâmica2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pt-BR" sz="1200" b="1">
                <a:latin typeface="Montserrat" panose="00000500000000000000" pitchFamily="2" charset="0"/>
              </a:rPr>
              <a:t>Distribuição de Despesas</a:t>
            </a:r>
          </a:p>
        </c:rich>
      </c:tx>
      <c:layout>
        <c:manualLayout>
          <c:xMode val="edge"/>
          <c:yMode val="edge"/>
          <c:x val="4.8217569473844236E-2"/>
          <c:y val="1.9943018451741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14124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642407282392115"/>
          <c:y val="0.16162167622902124"/>
          <c:w val="0.58384280546669787"/>
          <c:h val="0.761010666112519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Análises!$BL$5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Análises!$BK$6:$BK$20</c:f>
              <c:strCache>
                <c:ptCount val="14"/>
                <c:pt idx="0">
                  <c:v>EDUCAÇÃO</c:v>
                </c:pt>
                <c:pt idx="1">
                  <c:v>LAZER</c:v>
                </c:pt>
                <c:pt idx="2">
                  <c:v>PIX ROLE</c:v>
                </c:pt>
                <c:pt idx="3">
                  <c:v>CARTÃO</c:v>
                </c:pt>
                <c:pt idx="4">
                  <c:v>ALIMENTAÇÃO</c:v>
                </c:pt>
                <c:pt idx="5">
                  <c:v>TRANSPORTE</c:v>
                </c:pt>
                <c:pt idx="6">
                  <c:v>CUIDADOS PESSOAIS</c:v>
                </c:pt>
                <c:pt idx="7">
                  <c:v>APARTAMENTO</c:v>
                </c:pt>
                <c:pt idx="8">
                  <c:v>MARKETING</c:v>
                </c:pt>
                <c:pt idx="9">
                  <c:v>NATI</c:v>
                </c:pt>
                <c:pt idx="10">
                  <c:v>Gasolina</c:v>
                </c:pt>
                <c:pt idx="11">
                  <c:v>PRESENTE</c:v>
                </c:pt>
                <c:pt idx="12">
                  <c:v>ASSINATURA</c:v>
                </c:pt>
                <c:pt idx="13">
                  <c:v>CURSO</c:v>
                </c:pt>
              </c:strCache>
            </c:strRef>
          </c:cat>
          <c:val>
            <c:numRef>
              <c:f>Análises!$BL$6:$BL$20</c:f>
              <c:numCache>
                <c:formatCode>#,##0</c:formatCode>
                <c:ptCount val="14"/>
                <c:pt idx="0">
                  <c:v>500</c:v>
                </c:pt>
                <c:pt idx="1">
                  <c:v>6930.6999999999989</c:v>
                </c:pt>
                <c:pt idx="2">
                  <c:v>1641</c:v>
                </c:pt>
                <c:pt idx="3">
                  <c:v>253.41000000000003</c:v>
                </c:pt>
                <c:pt idx="4">
                  <c:v>5327.5199999999986</c:v>
                </c:pt>
                <c:pt idx="5">
                  <c:v>2463.88</c:v>
                </c:pt>
                <c:pt idx="6">
                  <c:v>2229.9600000000005</c:v>
                </c:pt>
                <c:pt idx="7">
                  <c:v>8320.14</c:v>
                </c:pt>
                <c:pt idx="8">
                  <c:v>307</c:v>
                </c:pt>
                <c:pt idx="9">
                  <c:v>359.32</c:v>
                </c:pt>
                <c:pt idx="10">
                  <c:v>253.03</c:v>
                </c:pt>
                <c:pt idx="11">
                  <c:v>326.89</c:v>
                </c:pt>
                <c:pt idx="12">
                  <c:v>359.8</c:v>
                </c:pt>
                <c:pt idx="1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4F-4CE9-84A8-B45E958F38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62041104"/>
        <c:axId val="2073937408"/>
      </c:barChart>
      <c:catAx>
        <c:axId val="166204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3937408"/>
        <c:crosses val="autoZero"/>
        <c:auto val="1"/>
        <c:lblAlgn val="ctr"/>
        <c:lblOffset val="100"/>
        <c:noMultiLvlLbl val="0"/>
      </c:catAx>
      <c:valAx>
        <c:axId val="207393740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66204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F9F9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[Controle Financeiro OG.xlsx]Análises!Tabela dinâmica3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n-US" sz="1200" b="1">
                <a:latin typeface="Montserrat" panose="00000500000000000000" pitchFamily="2" charset="0"/>
              </a:rPr>
              <a:t>Distribuição de Receitas</a:t>
            </a:r>
          </a:p>
        </c:rich>
      </c:tx>
      <c:layout>
        <c:manualLayout>
          <c:xMode val="edge"/>
          <c:yMode val="edge"/>
          <c:x val="6.102455365759852E-2"/>
          <c:y val="2.023120926876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rgbClr val="1A5A48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chemeClr val="accent4">
              <a:shade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accent4">
              <a:shade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1.2496535573307269E-2"/>
              <c:y val="-4.4078950178772079E-2"/>
            </c:manualLayout>
          </c:layout>
          <c:spPr>
            <a:solidFill>
              <a:srgbClr val="1A5A48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shade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chemeClr val="accent4">
              <a:shade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chemeClr val="accent4">
              <a:tint val="62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chemeClr val="accent4">
              <a:shade val="4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Análises!$BH$5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CA-4337-9FEB-89D4C947DA36}"/>
              </c:ext>
            </c:extLst>
          </c:dPt>
          <c:dPt>
            <c:idx val="1"/>
            <c:bubble3D val="0"/>
            <c:spPr>
              <a:solidFill>
                <a:schemeClr val="accent4">
                  <a:tint val="6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9CA-4337-9FEB-89D4C947DA36}"/>
              </c:ext>
            </c:extLst>
          </c:dPt>
          <c:dPt>
            <c:idx val="2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0C-4B78-9757-2EE4786ECFF9}"/>
              </c:ext>
            </c:extLst>
          </c:dPt>
          <c:dPt>
            <c:idx val="3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C0C-4B78-9757-2EE4786ECFF9}"/>
              </c:ext>
            </c:extLst>
          </c:dPt>
          <c:dPt>
            <c:idx val="4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041-4891-8B43-F6F3671251FA}"/>
              </c:ext>
            </c:extLst>
          </c:dPt>
          <c:dPt>
            <c:idx val="5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041-4891-8B43-F6F3671251FA}"/>
              </c:ext>
            </c:extLst>
          </c:dPt>
          <c:dPt>
            <c:idx val="6"/>
            <c:bubble3D val="0"/>
            <c:spPr>
              <a:solidFill>
                <a:schemeClr val="accent4">
                  <a:shade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543-4E41-982A-C1B708EC30E9}"/>
              </c:ext>
            </c:extLst>
          </c:dPt>
          <c:dPt>
            <c:idx val="7"/>
            <c:bubble3D val="0"/>
            <c:spPr>
              <a:solidFill>
                <a:schemeClr val="accent4">
                  <a:shade val="4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543-4E41-982A-C1B708EC30E9}"/>
              </c:ext>
            </c:extLst>
          </c:dPt>
          <c:dLbls>
            <c:dLbl>
              <c:idx val="4"/>
              <c:layout>
                <c:manualLayout>
                  <c:x val="1.2496535573307269E-2"/>
                  <c:y val="-4.407895017877207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41-4891-8B43-F6F3671251FA}"/>
                </c:ext>
              </c:extLst>
            </c:dLbl>
            <c:spPr>
              <a:solidFill>
                <a:srgbClr val="1A5A48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Análises!$BG$6:$BG$14</c:f>
              <c:strCache>
                <c:ptCount val="8"/>
                <c:pt idx="0">
                  <c:v>SALÁRIO</c:v>
                </c:pt>
                <c:pt idx="1">
                  <c:v>LAZER</c:v>
                </c:pt>
                <c:pt idx="2">
                  <c:v>PIX ROLE</c:v>
                </c:pt>
                <c:pt idx="3">
                  <c:v>PLR</c:v>
                </c:pt>
                <c:pt idx="4">
                  <c:v>INVESTIMENTO</c:v>
                </c:pt>
                <c:pt idx="5">
                  <c:v>PIX VA</c:v>
                </c:pt>
                <c:pt idx="6">
                  <c:v>REEMBOLSO</c:v>
                </c:pt>
                <c:pt idx="7">
                  <c:v>VA</c:v>
                </c:pt>
              </c:strCache>
            </c:strRef>
          </c:cat>
          <c:val>
            <c:numRef>
              <c:f>Análises!$BH$6:$BH$14</c:f>
              <c:numCache>
                <c:formatCode>#,##0</c:formatCode>
                <c:ptCount val="8"/>
                <c:pt idx="0">
                  <c:v>32457.25</c:v>
                </c:pt>
                <c:pt idx="1">
                  <c:v>1809.1</c:v>
                </c:pt>
                <c:pt idx="2">
                  <c:v>1754.73</c:v>
                </c:pt>
                <c:pt idx="3">
                  <c:v>3771.76</c:v>
                </c:pt>
                <c:pt idx="4">
                  <c:v>8.99</c:v>
                </c:pt>
                <c:pt idx="5">
                  <c:v>1500</c:v>
                </c:pt>
                <c:pt idx="6">
                  <c:v>135.28</c:v>
                </c:pt>
                <c:pt idx="7">
                  <c:v>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A-4337-9FEB-89D4C947D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F9F9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image" Target="../media/image1.png"/><Relationship Id="rId7" Type="http://schemas.openxmlformats.org/officeDocument/2006/relationships/hyperlink" Target="#Dashboard!A1"/><Relationship Id="rId12" Type="http://schemas.openxmlformats.org/officeDocument/2006/relationships/image" Target="../media/image6.sv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hyperlink" Target="#'Lan&#231;amentos'!A1"/><Relationship Id="rId15" Type="http://schemas.openxmlformats.org/officeDocument/2006/relationships/image" Target="../media/image9.png"/><Relationship Id="rId10" Type="http://schemas.openxmlformats.org/officeDocument/2006/relationships/chart" Target="../charts/chart4.xml"/><Relationship Id="rId4" Type="http://schemas.openxmlformats.org/officeDocument/2006/relationships/image" Target="../media/image2.svg"/><Relationship Id="rId9" Type="http://schemas.openxmlformats.org/officeDocument/2006/relationships/chart" Target="../charts/chart3.xml"/><Relationship Id="rId14" Type="http://schemas.openxmlformats.org/officeDocument/2006/relationships/image" Target="../media/image8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image" Target="../media/image11.png"/><Relationship Id="rId1" Type="http://schemas.openxmlformats.org/officeDocument/2006/relationships/hyperlink" Target="#'Lan&#231;amentos'!A1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160359</xdr:colOff>
      <xdr:row>24</xdr:row>
      <xdr:rowOff>151840</xdr:rowOff>
    </xdr:from>
    <xdr:to>
      <xdr:col>18</xdr:col>
      <xdr:colOff>187699</xdr:colOff>
      <xdr:row>41</xdr:row>
      <xdr:rowOff>498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487A7A-F02D-4100-A4D9-F34BD455B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173153</xdr:colOff>
      <xdr:row>12</xdr:row>
      <xdr:rowOff>51516</xdr:rowOff>
    </xdr:from>
    <xdr:to>
      <xdr:col>18</xdr:col>
      <xdr:colOff>195542</xdr:colOff>
      <xdr:row>24</xdr:row>
      <xdr:rowOff>57824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48F005-8ECF-45C6-B2C2-1FDF66164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76772</xdr:colOff>
      <xdr:row>8</xdr:row>
      <xdr:rowOff>51066</xdr:rowOff>
    </xdr:from>
    <xdr:to>
      <xdr:col>15</xdr:col>
      <xdr:colOff>43622</xdr:colOff>
      <xdr:row>12</xdr:row>
      <xdr:rowOff>12646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ês 1">
              <a:extLst>
                <a:ext uri="{FF2B5EF4-FFF2-40B4-BE49-F238E27FC236}">
                  <a16:creationId xmlns:a16="http://schemas.microsoft.com/office/drawing/2014/main" id="{3A8E45DE-8B25-4157-8BEE-EF3E8E93CD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6066" y="1765566"/>
              <a:ext cx="8438497" cy="723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323850</xdr:colOff>
      <xdr:row>2</xdr:row>
      <xdr:rowOff>19048</xdr:rowOff>
    </xdr:from>
    <xdr:to>
      <xdr:col>29</xdr:col>
      <xdr:colOff>214993</xdr:colOff>
      <xdr:row>7</xdr:row>
      <xdr:rowOff>179294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Categoria 1">
              <a:extLst>
                <a:ext uri="{FF2B5EF4-FFF2-40B4-BE49-F238E27FC236}">
                  <a16:creationId xmlns:a16="http://schemas.microsoft.com/office/drawing/2014/main" id="{8AEC1C4C-642A-4C88-B0C3-FD208AB4E1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74791" y="601755"/>
              <a:ext cx="8362790" cy="8101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22</xdr:col>
      <xdr:colOff>111637</xdr:colOff>
      <xdr:row>12</xdr:row>
      <xdr:rowOff>80087</xdr:rowOff>
    </xdr:from>
    <xdr:to>
      <xdr:col>25</xdr:col>
      <xdr:colOff>261456</xdr:colOff>
      <xdr:row>18</xdr:row>
      <xdr:rowOff>123356</xdr:rowOff>
    </xdr:to>
    <xdr:grpSp>
      <xdr:nvGrpSpPr>
        <xdr:cNvPr id="7" name="Agrupar 21">
          <a:extLst>
            <a:ext uri="{FF2B5EF4-FFF2-40B4-BE49-F238E27FC236}">
              <a16:creationId xmlns:a16="http://schemas.microsoft.com/office/drawing/2014/main" id="{DABDF148-BA91-41A5-B972-5A0E4C2EE295}"/>
            </a:ext>
          </a:extLst>
        </xdr:cNvPr>
        <xdr:cNvGrpSpPr/>
      </xdr:nvGrpSpPr>
      <xdr:grpSpPr>
        <a:xfrm>
          <a:off x="12998402" y="2556587"/>
          <a:ext cx="1965172" cy="1186269"/>
          <a:chOff x="12298680" y="674304"/>
          <a:chExt cx="1769745" cy="1125921"/>
        </a:xfrm>
      </xdr:grpSpPr>
      <xdr:sp macro="" textlink="Soma_Receita">
        <xdr:nvSpPr>
          <xdr:cNvPr id="8" name="Retângulo 15">
            <a:extLst>
              <a:ext uri="{FF2B5EF4-FFF2-40B4-BE49-F238E27FC236}">
                <a16:creationId xmlns:a16="http://schemas.microsoft.com/office/drawing/2014/main" id="{98CF3CEA-A103-4411-9738-3FC3DC33F080}"/>
              </a:ext>
            </a:extLst>
          </xdr:cNvPr>
          <xdr:cNvSpPr/>
        </xdr:nvSpPr>
        <xdr:spPr>
          <a:xfrm>
            <a:off x="12298680" y="905133"/>
            <a:ext cx="1765935" cy="895092"/>
          </a:xfrm>
          <a:prstGeom prst="rect">
            <a:avLst/>
          </a:prstGeom>
          <a:solidFill>
            <a:srgbClr val="F9F9F9"/>
          </a:solidFill>
          <a:ln>
            <a:solidFill>
              <a:srgbClr val="5DCEAF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54C1041-1122-474A-B7EB-ED8D54F9D0AC}" type="TxLink">
              <a:rPr lang="en-US" sz="1800" b="1" i="0" u="none" strike="noStrike">
                <a:solidFill>
                  <a:srgbClr val="000000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algn="ctr"/>
              <a:t>R$42.411,64</a:t>
            </a:fld>
            <a:endParaRPr lang="pt-BR" sz="18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0" name="Retângulo: Cantos Superiores Arredondados 18">
            <a:extLst>
              <a:ext uri="{FF2B5EF4-FFF2-40B4-BE49-F238E27FC236}">
                <a16:creationId xmlns:a16="http://schemas.microsoft.com/office/drawing/2014/main" id="{60787863-53B8-4041-8337-B3A1F077CF46}"/>
              </a:ext>
            </a:extLst>
          </xdr:cNvPr>
          <xdr:cNvSpPr/>
        </xdr:nvSpPr>
        <xdr:spPr>
          <a:xfrm>
            <a:off x="12302565" y="674304"/>
            <a:ext cx="1765860" cy="339090"/>
          </a:xfrm>
          <a:prstGeom prst="round2SameRect">
            <a:avLst/>
          </a:prstGeom>
          <a:solidFill>
            <a:srgbClr val="5DCEAF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RECEITA</a:t>
            </a:r>
          </a:p>
        </xdr:txBody>
      </xdr:sp>
    </xdr:grpSp>
    <xdr:clientData/>
  </xdr:twoCellAnchor>
  <xdr:twoCellAnchor>
    <xdr:from>
      <xdr:col>18</xdr:col>
      <xdr:colOff>399662</xdr:colOff>
      <xdr:row>12</xdr:row>
      <xdr:rowOff>49966</xdr:rowOff>
    </xdr:from>
    <xdr:to>
      <xdr:col>21</xdr:col>
      <xdr:colOff>541245</xdr:colOff>
      <xdr:row>18</xdr:row>
      <xdr:rowOff>127029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514C318B-E9F6-489D-922C-4FFB195ED05E}"/>
            </a:ext>
          </a:extLst>
        </xdr:cNvPr>
        <xdr:cNvGrpSpPr/>
      </xdr:nvGrpSpPr>
      <xdr:grpSpPr>
        <a:xfrm>
          <a:off x="10865956" y="2526466"/>
          <a:ext cx="1956936" cy="1220063"/>
          <a:chOff x="14125577" y="638150"/>
          <a:chExt cx="1772255" cy="1158266"/>
        </a:xfrm>
      </xdr:grpSpPr>
      <xdr:sp macro="" textlink="Soma_Despesa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06C5CE6C-3C16-4DE2-BA4D-E9B0A4009F8A}"/>
              </a:ext>
            </a:extLst>
          </xdr:cNvPr>
          <xdr:cNvSpPr/>
        </xdr:nvSpPr>
        <xdr:spPr>
          <a:xfrm>
            <a:off x="14128433" y="923160"/>
            <a:ext cx="1767840" cy="873256"/>
          </a:xfrm>
          <a:prstGeom prst="round2SameRect">
            <a:avLst>
              <a:gd name="adj1" fmla="val 8470"/>
              <a:gd name="adj2" fmla="val 0"/>
            </a:avLst>
          </a:prstGeom>
          <a:solidFill>
            <a:srgbClr val="F9F9F9"/>
          </a:solidFill>
          <a:ln>
            <a:solidFill>
              <a:srgbClr val="F14124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9AD364C-267F-4EA0-91A2-49A2CE3656FF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R$42.857,89</a:t>
            </a:fld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4E12811A-AE3C-4483-B4EA-720134853C53}"/>
              </a:ext>
            </a:extLst>
          </xdr:cNvPr>
          <xdr:cNvSpPr/>
        </xdr:nvSpPr>
        <xdr:spPr>
          <a:xfrm>
            <a:off x="14125577" y="638150"/>
            <a:ext cx="1772255" cy="339089"/>
          </a:xfrm>
          <a:prstGeom prst="round2SameRect">
            <a:avLst/>
          </a:prstGeom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DESPESA</a:t>
            </a:r>
          </a:p>
        </xdr:txBody>
      </xdr:sp>
    </xdr:grpSp>
    <xdr:clientData/>
  </xdr:twoCellAnchor>
  <xdr:twoCellAnchor>
    <xdr:from>
      <xdr:col>25</xdr:col>
      <xdr:colOff>418766</xdr:colOff>
      <xdr:row>12</xdr:row>
      <xdr:rowOff>77240</xdr:rowOff>
    </xdr:from>
    <xdr:to>
      <xdr:col>29</xdr:col>
      <xdr:colOff>168090</xdr:colOff>
      <xdr:row>18</xdr:row>
      <xdr:rowOff>122284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4F9B88F9-791D-447D-A801-4B5C8036E736}"/>
            </a:ext>
          </a:extLst>
        </xdr:cNvPr>
        <xdr:cNvGrpSpPr/>
      </xdr:nvGrpSpPr>
      <xdr:grpSpPr>
        <a:xfrm>
          <a:off x="15120884" y="2553740"/>
          <a:ext cx="2169794" cy="1188044"/>
          <a:chOff x="15952469" y="672906"/>
          <a:chExt cx="1777485" cy="1120652"/>
        </a:xfrm>
      </xdr:grpSpPr>
      <xdr:sp macro="" textlink="Soma_Saldo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8F627228-6EAD-4279-8F56-74001A5B0D12}"/>
              </a:ext>
            </a:extLst>
          </xdr:cNvPr>
          <xdr:cNvSpPr/>
        </xdr:nvSpPr>
        <xdr:spPr>
          <a:xfrm>
            <a:off x="15956280" y="933539"/>
            <a:ext cx="1765935" cy="860019"/>
          </a:xfrm>
          <a:prstGeom prst="round2SameRect">
            <a:avLst>
              <a:gd name="adj1" fmla="val 8470"/>
              <a:gd name="adj2" fmla="val 0"/>
            </a:avLst>
          </a:prstGeom>
          <a:solidFill>
            <a:srgbClr val="F9F9F9"/>
          </a:solidFill>
          <a:ln>
            <a:solidFill>
              <a:srgbClr val="4E67C8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EAFDD53-2A70-4ECD-B4EA-046CCD9C9C96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-R$446,25</a:t>
            </a:fld>
            <a:endParaRPr lang="pt-BR" sz="18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7EDE9C75-D340-47AB-8A27-28B7D2C9DA47}"/>
              </a:ext>
            </a:extLst>
          </xdr:cNvPr>
          <xdr:cNvSpPr/>
        </xdr:nvSpPr>
        <xdr:spPr>
          <a:xfrm>
            <a:off x="15952469" y="672906"/>
            <a:ext cx="1777485" cy="331470"/>
          </a:xfrm>
          <a:prstGeom prst="round2SameRect">
            <a:avLst/>
          </a:prstGeom>
          <a:solidFill>
            <a:srgbClr val="4E67C8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SALDO</a:t>
            </a:r>
          </a:p>
        </xdr:txBody>
      </xdr:sp>
    </xdr:grpSp>
    <xdr:clientData/>
  </xdr:twoCellAnchor>
  <xdr:twoCellAnchor editAs="oneCell">
    <xdr:from>
      <xdr:col>62</xdr:col>
      <xdr:colOff>31296</xdr:colOff>
      <xdr:row>5</xdr:row>
      <xdr:rowOff>117294</xdr:rowOff>
    </xdr:from>
    <xdr:to>
      <xdr:col>64</xdr:col>
      <xdr:colOff>124378</xdr:colOff>
      <xdr:row>12</xdr:row>
      <xdr:rowOff>151584</xdr:rowOff>
    </xdr:to>
    <xdr:pic>
      <xdr:nvPicPr>
        <xdr:cNvPr id="35" name="Gráfico 34" descr="Área de Transferência com preenchimento sólido">
          <a:extLst>
            <a:ext uri="{FF2B5EF4-FFF2-40B4-BE49-F238E27FC236}">
              <a16:creationId xmlns:a16="http://schemas.microsoft.com/office/drawing/2014/main" id="{33A2C660-E9A5-4619-B17D-7FF8244E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913582" y="1042580"/>
          <a:ext cx="1312282" cy="1329690"/>
        </a:xfrm>
        <a:prstGeom prst="rect">
          <a:avLst/>
        </a:prstGeom>
      </xdr:spPr>
    </xdr:pic>
    <xdr:clientData/>
  </xdr:twoCellAnchor>
  <xdr:twoCellAnchor editAs="oneCell">
    <xdr:from>
      <xdr:col>2</xdr:col>
      <xdr:colOff>63724</xdr:colOff>
      <xdr:row>1</xdr:row>
      <xdr:rowOff>59262</xdr:rowOff>
    </xdr:from>
    <xdr:to>
      <xdr:col>2</xdr:col>
      <xdr:colOff>423616</xdr:colOff>
      <xdr:row>1</xdr:row>
      <xdr:rowOff>419262</xdr:rowOff>
    </xdr:to>
    <xdr:pic>
      <xdr:nvPicPr>
        <xdr:cNvPr id="36" name="Imagem 35" descr="Ícone&#10;&#10;Descrição gerada automaticament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4D7DED-C03A-4E19-87B6-E5569E675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299" y="154512"/>
          <a:ext cx="359892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186418</xdr:colOff>
      <xdr:row>1</xdr:row>
      <xdr:rowOff>48987</xdr:rowOff>
    </xdr:from>
    <xdr:to>
      <xdr:col>1</xdr:col>
      <xdr:colOff>556668</xdr:colOff>
      <xdr:row>1</xdr:row>
      <xdr:rowOff>408987</xdr:rowOff>
    </xdr:to>
    <xdr:pic>
      <xdr:nvPicPr>
        <xdr:cNvPr id="37" name="Imagem 36" descr="Ícone&#10;&#10;Descrição gerada automaticament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74AA3CE-E274-4E5A-84A7-542CD83F1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93" y="144237"/>
          <a:ext cx="370250" cy="360000"/>
        </a:xfrm>
        <a:prstGeom prst="rect">
          <a:avLst/>
        </a:prstGeom>
      </xdr:spPr>
    </xdr:pic>
    <xdr:clientData/>
  </xdr:twoCellAnchor>
  <xdr:twoCellAnchor>
    <xdr:from>
      <xdr:col>18</xdr:col>
      <xdr:colOff>331767</xdr:colOff>
      <xdr:row>20</xdr:row>
      <xdr:rowOff>142314</xdr:rowOff>
    </xdr:from>
    <xdr:to>
      <xdr:col>24</xdr:col>
      <xdr:colOff>138546</xdr:colOff>
      <xdr:row>41</xdr:row>
      <xdr:rowOff>5873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3ADC2DD5-0811-4D57-9BDE-87F3E9E50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281339</xdr:colOff>
      <xdr:row>21</xdr:row>
      <xdr:rowOff>81244</xdr:rowOff>
    </xdr:from>
    <xdr:to>
      <xdr:col>29</xdr:col>
      <xdr:colOff>304596</xdr:colOff>
      <xdr:row>41</xdr:row>
      <xdr:rowOff>16796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5ED68C7-7322-4EBD-B601-748AA2115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188021</xdr:colOff>
      <xdr:row>12</xdr:row>
      <xdr:rowOff>72278</xdr:rowOff>
    </xdr:from>
    <xdr:to>
      <xdr:col>21</xdr:col>
      <xdr:colOff>507129</xdr:colOff>
      <xdr:row>14</xdr:row>
      <xdr:rowOff>5536</xdr:rowOff>
    </xdr:to>
    <xdr:pic>
      <xdr:nvPicPr>
        <xdr:cNvPr id="3" name="Gráfico 2" descr="Gráfico de tendência descendente com preenchimento sólido">
          <a:extLst>
            <a:ext uri="{FF2B5EF4-FFF2-40B4-BE49-F238E27FC236}">
              <a16:creationId xmlns:a16="http://schemas.microsoft.com/office/drawing/2014/main" id="{9C5B112A-B2F1-4949-A5DA-D706CD368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469668" y="2548778"/>
          <a:ext cx="319108" cy="314258"/>
        </a:xfrm>
        <a:prstGeom prst="rect">
          <a:avLst/>
        </a:prstGeom>
      </xdr:spPr>
    </xdr:pic>
    <xdr:clientData/>
  </xdr:twoCellAnchor>
  <xdr:twoCellAnchor>
    <xdr:from>
      <xdr:col>24</xdr:col>
      <xdr:colOff>516032</xdr:colOff>
      <xdr:row>12</xdr:row>
      <xdr:rowOff>104215</xdr:rowOff>
    </xdr:from>
    <xdr:to>
      <xdr:col>25</xdr:col>
      <xdr:colOff>224677</xdr:colOff>
      <xdr:row>14</xdr:row>
      <xdr:rowOff>36415</xdr:rowOff>
    </xdr:to>
    <xdr:pic>
      <xdr:nvPicPr>
        <xdr:cNvPr id="4" name="Gráfico 3" descr="Tendência ascendente com preenchimento sólido">
          <a:extLst>
            <a:ext uri="{FF2B5EF4-FFF2-40B4-BE49-F238E27FC236}">
              <a16:creationId xmlns:a16="http://schemas.microsoft.com/office/drawing/2014/main" id="{8DEB0DE7-80A9-4B46-91B5-4F33B4A61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13032" y="2580715"/>
          <a:ext cx="313763" cy="313200"/>
        </a:xfrm>
        <a:prstGeom prst="rect">
          <a:avLst/>
        </a:prstGeom>
      </xdr:spPr>
    </xdr:pic>
    <xdr:clientData/>
  </xdr:twoCellAnchor>
  <xdr:twoCellAnchor>
    <xdr:from>
      <xdr:col>28</xdr:col>
      <xdr:colOff>397250</xdr:colOff>
      <xdr:row>12</xdr:row>
      <xdr:rowOff>105896</xdr:rowOff>
    </xdr:from>
    <xdr:to>
      <xdr:col>29</xdr:col>
      <xdr:colOff>153785</xdr:colOff>
      <xdr:row>14</xdr:row>
      <xdr:rowOff>38096</xdr:rowOff>
    </xdr:to>
    <xdr:pic>
      <xdr:nvPicPr>
        <xdr:cNvPr id="6" name="Gráfico 5" descr="Moedas estrutura de tópicos">
          <a:extLst>
            <a:ext uri="{FF2B5EF4-FFF2-40B4-BE49-F238E27FC236}">
              <a16:creationId xmlns:a16="http://schemas.microsoft.com/office/drawing/2014/main" id="{362ACD04-8525-4601-A9B6-4936CADF4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914721" y="2582396"/>
          <a:ext cx="361652" cy="313200"/>
        </a:xfrm>
        <a:prstGeom prst="rect">
          <a:avLst/>
        </a:prstGeom>
      </xdr:spPr>
    </xdr:pic>
    <xdr:clientData/>
  </xdr:twoCellAnchor>
  <xdr:twoCellAnchor editAs="oneCell">
    <xdr:from>
      <xdr:col>1</xdr:col>
      <xdr:colOff>33618</xdr:colOff>
      <xdr:row>2</xdr:row>
      <xdr:rowOff>112059</xdr:rowOff>
    </xdr:from>
    <xdr:to>
      <xdr:col>6</xdr:col>
      <xdr:colOff>379881</xdr:colOff>
      <xdr:row>8</xdr:row>
      <xdr:rowOff>33618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NO">
              <a:extLst>
                <a:ext uri="{FF2B5EF4-FFF2-40B4-BE49-F238E27FC236}">
                  <a16:creationId xmlns:a16="http://schemas.microsoft.com/office/drawing/2014/main" id="{CEC6C102-D5D3-4003-A546-D1E0C12D8D9C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912" y="694765"/>
              <a:ext cx="3371851" cy="1053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1257125</xdr:colOff>
      <xdr:row>0</xdr:row>
      <xdr:rowOff>1087928</xdr:rowOff>
    </xdr:from>
    <xdr:to>
      <xdr:col>7</xdr:col>
      <xdr:colOff>889762</xdr:colOff>
      <xdr:row>0</xdr:row>
      <xdr:rowOff>1769225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Mês">
              <a:extLst>
                <a:ext uri="{FF2B5EF4-FFF2-40B4-BE49-F238E27FC236}">
                  <a16:creationId xmlns:a16="http://schemas.microsoft.com/office/drawing/2014/main" id="{68BDEFAC-7071-4B6A-BA4E-05BD9C4442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3080" y="1084118"/>
              <a:ext cx="6604289" cy="6889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38620</xdr:colOff>
      <xdr:row>0</xdr:row>
      <xdr:rowOff>993914</xdr:rowOff>
    </xdr:from>
    <xdr:to>
      <xdr:col>2</xdr:col>
      <xdr:colOff>1199803</xdr:colOff>
      <xdr:row>0</xdr:row>
      <xdr:rowOff>1774076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Tipo">
              <a:extLst>
                <a:ext uri="{FF2B5EF4-FFF2-40B4-BE49-F238E27FC236}">
                  <a16:creationId xmlns:a16="http://schemas.microsoft.com/office/drawing/2014/main" id="{0A3B8729-E10D-4FEE-ABAF-16B25FE62F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381" y="993914"/>
              <a:ext cx="2428422" cy="7801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105</xdr:colOff>
      <xdr:row>0</xdr:row>
      <xdr:rowOff>15586</xdr:rowOff>
    </xdr:from>
    <xdr:to>
      <xdr:col>7</xdr:col>
      <xdr:colOff>886992</xdr:colOff>
      <xdr:row>0</xdr:row>
      <xdr:rowOff>1050694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ategoria">
              <a:extLst>
                <a:ext uri="{FF2B5EF4-FFF2-40B4-BE49-F238E27FC236}">
                  <a16:creationId xmlns:a16="http://schemas.microsoft.com/office/drawing/2014/main" id="{A21279B0-C9CB-44E9-BE83-822826033B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9014" y="19396"/>
              <a:ext cx="6593205" cy="1027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192149</xdr:colOff>
      <xdr:row>0</xdr:row>
      <xdr:rowOff>143279</xdr:rowOff>
    </xdr:from>
    <xdr:to>
      <xdr:col>2</xdr:col>
      <xdr:colOff>1086196</xdr:colOff>
      <xdr:row>0</xdr:row>
      <xdr:rowOff>1019397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3E89D9-910C-4A54-BE4D-6FA748B0D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04" y="143279"/>
          <a:ext cx="894047" cy="876118"/>
        </a:xfrm>
        <a:prstGeom prst="rect">
          <a:avLst/>
        </a:prstGeom>
      </xdr:spPr>
    </xdr:pic>
    <xdr:clientData/>
  </xdr:twoCellAnchor>
  <xdr:twoCellAnchor editAs="oneCell">
    <xdr:from>
      <xdr:col>1</xdr:col>
      <xdr:colOff>254924</xdr:colOff>
      <xdr:row>0</xdr:row>
      <xdr:rowOff>49010</xdr:rowOff>
    </xdr:from>
    <xdr:to>
      <xdr:col>2</xdr:col>
      <xdr:colOff>2373</xdr:colOff>
      <xdr:row>0</xdr:row>
      <xdr:rowOff>1041634</xdr:rowOff>
    </xdr:to>
    <xdr:pic>
      <xdr:nvPicPr>
        <xdr:cNvPr id="7" name="Imagem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F522CD-0766-474B-B049-7C4AE9483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56" y="49010"/>
          <a:ext cx="1050469" cy="9926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e9c157ff2603468/&#193;rea%20de%20Trabalho/Controle%20Financeiro%20OG%20V2%20(atualizando).xlsx" TargetMode="External"/><Relationship Id="rId1" Type="http://schemas.openxmlformats.org/officeDocument/2006/relationships/externalLinkPath" Target="Controle%20Financeiro%20OG%20V2%20(atualizan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Gabarito"/>
      <sheetName val="Base"/>
      <sheetName val="Planilha2"/>
      <sheetName val="Análise Gabarito"/>
    </sheetNames>
    <sheetDataSet>
      <sheetData sheetId="0"/>
      <sheetData sheetId="1"/>
      <sheetData sheetId="2">
        <row r="2">
          <cell r="K2" t="str">
            <v>ALIMENTAÇÃO-Ifood</v>
          </cell>
          <cell r="L2" t="str">
            <v>ALIMENTAÇÃO</v>
          </cell>
          <cell r="M2" t="str">
            <v>Ifood</v>
          </cell>
          <cell r="N2" t="str">
            <v>Alimentação</v>
          </cell>
          <cell r="O2" t="str">
            <v>Delivery</v>
          </cell>
        </row>
        <row r="3">
          <cell r="K3" t="str">
            <v>ALIMENTAÇÃO-Caldo de cana</v>
          </cell>
          <cell r="L3" t="str">
            <v>ALIMENTAÇÃO</v>
          </cell>
          <cell r="M3" t="str">
            <v>Caldo de cana</v>
          </cell>
          <cell r="N3" t="str">
            <v>Alimentação</v>
          </cell>
          <cell r="O3" t="str">
            <v>Feira</v>
          </cell>
        </row>
        <row r="4">
          <cell r="K4" t="str">
            <v>ALIMENTAÇÃO-pastel</v>
          </cell>
          <cell r="L4" t="str">
            <v>ALIMENTAÇÃO</v>
          </cell>
          <cell r="M4" t="str">
            <v>pastel</v>
          </cell>
          <cell r="N4" t="str">
            <v>Alimentação</v>
          </cell>
          <cell r="O4" t="str">
            <v>Feira</v>
          </cell>
        </row>
        <row r="5">
          <cell r="K5" t="str">
            <v>ALIMENTAÇÃO-Gran coffee</v>
          </cell>
          <cell r="L5" t="str">
            <v>ALIMENTAÇÃO</v>
          </cell>
          <cell r="M5" t="str">
            <v>Gran coffee</v>
          </cell>
          <cell r="N5" t="str">
            <v>Alimentação</v>
          </cell>
          <cell r="O5" t="str">
            <v>Mercadinho</v>
          </cell>
        </row>
        <row r="6">
          <cell r="K6" t="str">
            <v>ALIMENTAÇÃO-Café</v>
          </cell>
          <cell r="L6" t="str">
            <v>ALIMENTAÇÃO</v>
          </cell>
          <cell r="M6" t="str">
            <v>Café</v>
          </cell>
          <cell r="N6" t="str">
            <v>Alimentação</v>
          </cell>
          <cell r="O6" t="str">
            <v>Restaurante</v>
          </cell>
        </row>
        <row r="7">
          <cell r="K7" t="str">
            <v>ALIMENTAÇÃO-NUTRICAR</v>
          </cell>
          <cell r="L7" t="str">
            <v>ALIMENTAÇÃO</v>
          </cell>
          <cell r="M7" t="str">
            <v>NUTRICAR</v>
          </cell>
          <cell r="N7" t="str">
            <v>Alimentação</v>
          </cell>
          <cell r="O7" t="str">
            <v>Mercadinho</v>
          </cell>
        </row>
        <row r="8">
          <cell r="K8" t="str">
            <v>ALIMENTAÇÃO-cookie</v>
          </cell>
          <cell r="L8" t="str">
            <v>ALIMENTAÇÃO</v>
          </cell>
          <cell r="M8" t="str">
            <v>cookie</v>
          </cell>
          <cell r="N8" t="str">
            <v>Alimentação</v>
          </cell>
          <cell r="O8" t="str">
            <v>Restaurante</v>
          </cell>
        </row>
        <row r="9">
          <cell r="K9" t="str">
            <v>ALIMENTAÇÃO-sorvete</v>
          </cell>
          <cell r="L9" t="str">
            <v>ALIMENTAÇÃO</v>
          </cell>
          <cell r="M9" t="str">
            <v>sorvete</v>
          </cell>
          <cell r="N9" t="str">
            <v>Alimentação</v>
          </cell>
          <cell r="O9" t="str">
            <v>Restaurante</v>
          </cell>
        </row>
        <row r="10">
          <cell r="K10" t="str">
            <v>ALIMENTAÇÃO-mercado</v>
          </cell>
          <cell r="L10" t="str">
            <v>ALIMENTAÇÃO</v>
          </cell>
          <cell r="M10" t="str">
            <v>mercado</v>
          </cell>
          <cell r="N10" t="str">
            <v>Alimentação</v>
          </cell>
          <cell r="O10" t="str">
            <v>Mercado</v>
          </cell>
        </row>
        <row r="11">
          <cell r="K11" t="str">
            <v>ALIMENTAÇÃO-mc donalds</v>
          </cell>
          <cell r="L11" t="str">
            <v>ALIMENTAÇÃO</v>
          </cell>
          <cell r="M11" t="str">
            <v>mc donalds</v>
          </cell>
          <cell r="N11" t="str">
            <v>Alimentação</v>
          </cell>
          <cell r="O11" t="str">
            <v>Restaurante</v>
          </cell>
        </row>
        <row r="12">
          <cell r="K12" t="str">
            <v>ALIMENTAÇÃO-ifood - cabana</v>
          </cell>
          <cell r="L12" t="str">
            <v>ALIMENTAÇÃO</v>
          </cell>
          <cell r="M12" t="str">
            <v>ifood - cabana</v>
          </cell>
          <cell r="N12" t="str">
            <v>Alimentação</v>
          </cell>
          <cell r="O12" t="str">
            <v>Delivery</v>
          </cell>
        </row>
        <row r="13">
          <cell r="K13" t="str">
            <v>ALIMENTAÇÃO-patties</v>
          </cell>
          <cell r="L13" t="str">
            <v>ALIMENTAÇÃO</v>
          </cell>
          <cell r="M13" t="str">
            <v>patties</v>
          </cell>
          <cell r="N13" t="str">
            <v>Alimentação</v>
          </cell>
          <cell r="O13" t="str">
            <v>Restaurante</v>
          </cell>
        </row>
        <row r="14">
          <cell r="K14" t="str">
            <v>ALIMENTAÇÃO-suco - tambore</v>
          </cell>
          <cell r="L14" t="str">
            <v>ALIMENTAÇÃO</v>
          </cell>
          <cell r="M14" t="str">
            <v>suco - tambore</v>
          </cell>
          <cell r="N14" t="str">
            <v>Alimentação</v>
          </cell>
          <cell r="O14" t="str">
            <v>Restaurante</v>
          </cell>
        </row>
        <row r="15">
          <cell r="K15" t="str">
            <v>ALIMENTAÇÃO-casa pilão</v>
          </cell>
          <cell r="L15" t="str">
            <v>ALIMENTAÇÃO</v>
          </cell>
          <cell r="M15" t="str">
            <v>casa pilão</v>
          </cell>
          <cell r="N15" t="str">
            <v>Alimentação</v>
          </cell>
          <cell r="O15" t="str">
            <v>Restaurante</v>
          </cell>
        </row>
        <row r="16">
          <cell r="K16" t="str">
            <v>ALIMENTAÇÃO-fatz</v>
          </cell>
          <cell r="L16" t="str">
            <v>ALIMENTAÇÃO</v>
          </cell>
          <cell r="M16" t="str">
            <v>fatz</v>
          </cell>
          <cell r="N16" t="str">
            <v>Alimentação</v>
          </cell>
          <cell r="O16" t="str">
            <v>Restaurante</v>
          </cell>
        </row>
        <row r="17">
          <cell r="K17" t="str">
            <v>ALIMENTAÇÃO-IFD*iFood</v>
          </cell>
          <cell r="L17" t="str">
            <v>ALIMENTAÇÃO</v>
          </cell>
          <cell r="M17" t="str">
            <v>IFD*iFood</v>
          </cell>
          <cell r="N17" t="str">
            <v>Alimentação</v>
          </cell>
          <cell r="O17" t="str">
            <v>Delivery</v>
          </cell>
        </row>
        <row r="18">
          <cell r="K18" t="str">
            <v>ALIMENTAÇÃO-OUTBACK BOURBOUN SP</v>
          </cell>
          <cell r="L18" t="str">
            <v>ALIMENTAÇÃO</v>
          </cell>
          <cell r="M18" t="str">
            <v>OUTBACK BOURBOUN SP</v>
          </cell>
          <cell r="N18" t="str">
            <v>Alimentação</v>
          </cell>
          <cell r="O18" t="str">
            <v>Restaurante</v>
          </cell>
        </row>
        <row r="19">
          <cell r="K19" t="str">
            <v>ALIMENTAÇÃO-GRAN  COFFEE</v>
          </cell>
          <cell r="L19" t="str">
            <v>ALIMENTAÇÃO</v>
          </cell>
          <cell r="M19" t="str">
            <v>GRAN  COFFEE</v>
          </cell>
          <cell r="N19" t="str">
            <v>Alimentação</v>
          </cell>
          <cell r="O19" t="str">
            <v>Mercadinho</v>
          </cell>
        </row>
        <row r="20">
          <cell r="K20" t="str">
            <v>ALIMENTAÇÃO-COZINHA 212</v>
          </cell>
          <cell r="L20" t="str">
            <v>ALIMENTAÇÃO</v>
          </cell>
          <cell r="M20" t="str">
            <v>COZINHA 212</v>
          </cell>
          <cell r="N20" t="str">
            <v>Alimentação</v>
          </cell>
          <cell r="O20" t="str">
            <v>Restaurante</v>
          </cell>
        </row>
        <row r="21">
          <cell r="K21" t="str">
            <v>ALIMENTAÇÃO-benihana</v>
          </cell>
          <cell r="L21" t="str">
            <v>ALIMENTAÇÃO</v>
          </cell>
          <cell r="M21" t="str">
            <v>benihana</v>
          </cell>
          <cell r="N21" t="str">
            <v>Alimentação</v>
          </cell>
          <cell r="O21" t="str">
            <v>Restaurante</v>
          </cell>
        </row>
        <row r="22">
          <cell r="K22" t="str">
            <v>ALIMENTAÇÃO-IFD*MANIHI SUSHI - TAMBOR</v>
          </cell>
          <cell r="L22" t="str">
            <v>ALIMENTAÇÃO</v>
          </cell>
          <cell r="M22" t="str">
            <v>IFD*MANIHI SUSHI - TAMBOR</v>
          </cell>
          <cell r="N22" t="str">
            <v>Alimentação</v>
          </cell>
          <cell r="O22" t="str">
            <v>Delivery</v>
          </cell>
        </row>
        <row r="23">
          <cell r="K23" t="str">
            <v>APARTAMENTO-Apartamento</v>
          </cell>
          <cell r="L23" t="str">
            <v>APARTAMENTO</v>
          </cell>
          <cell r="M23" t="str">
            <v>Apartamento</v>
          </cell>
          <cell r="N23" t="str">
            <v>Moradia</v>
          </cell>
          <cell r="O23" t="str">
            <v>Parcela apto</v>
          </cell>
        </row>
        <row r="24">
          <cell r="K24" t="str">
            <v>ASSINATURA-chatgpt</v>
          </cell>
          <cell r="L24" t="str">
            <v>ASSINATURA</v>
          </cell>
          <cell r="M24" t="str">
            <v>chatgpt</v>
          </cell>
          <cell r="N24" t="str">
            <v>Assinatura</v>
          </cell>
          <cell r="O24" t="str">
            <v>IA</v>
          </cell>
        </row>
        <row r="25">
          <cell r="K25" t="str">
            <v>ASSINATURA-spyads - mkt</v>
          </cell>
          <cell r="L25" t="str">
            <v>ASSINATURA</v>
          </cell>
          <cell r="M25" t="str">
            <v>spyads - mkt</v>
          </cell>
          <cell r="N25" t="str">
            <v>Assinatura</v>
          </cell>
          <cell r="O25" t="str">
            <v>Rateio</v>
          </cell>
        </row>
        <row r="26">
          <cell r="K26" t="str">
            <v>ASSINATURA-OPENAI *CHATGPT SUBSCR</v>
          </cell>
          <cell r="L26" t="str">
            <v>ASSINATURA</v>
          </cell>
          <cell r="M26" t="str">
            <v>OPENAI *CHATGPT SUBSCR</v>
          </cell>
          <cell r="N26" t="str">
            <v>Assinatura</v>
          </cell>
          <cell r="O26" t="str">
            <v>IA</v>
          </cell>
        </row>
        <row r="27">
          <cell r="K27" t="str">
            <v>ASSINATURA-KIWIFY *HelpspyAds</v>
          </cell>
          <cell r="L27" t="str">
            <v>ASSINATURA</v>
          </cell>
          <cell r="M27" t="str">
            <v>KIWIFY *HelpspyAds</v>
          </cell>
          <cell r="N27" t="str">
            <v>Assinatura</v>
          </cell>
          <cell r="O27" t="str">
            <v>Rateio</v>
          </cell>
        </row>
        <row r="28">
          <cell r="K28" t="str">
            <v>CARTÃO-seguro cartão</v>
          </cell>
          <cell r="L28" t="str">
            <v>CARTÃO</v>
          </cell>
          <cell r="M28" t="str">
            <v>seguro cartão</v>
          </cell>
          <cell r="N28" t="str">
            <v>Cartão</v>
          </cell>
          <cell r="O28" t="str">
            <v>Seguro</v>
          </cell>
        </row>
        <row r="29">
          <cell r="K29" t="str">
            <v>CARTÃO-IOF</v>
          </cell>
          <cell r="L29" t="str">
            <v>CARTÃO</v>
          </cell>
          <cell r="M29" t="str">
            <v>IOF</v>
          </cell>
          <cell r="N29" t="str">
            <v>Cartão</v>
          </cell>
          <cell r="O29" t="str">
            <v>IOF</v>
          </cell>
        </row>
        <row r="30">
          <cell r="K30" t="str">
            <v>CARTÃO-gastos cartao</v>
          </cell>
          <cell r="L30" t="str">
            <v>CARTÃO</v>
          </cell>
          <cell r="M30" t="str">
            <v>gastos cartao</v>
          </cell>
          <cell r="N30" t="str">
            <v>Cartão</v>
          </cell>
          <cell r="O30" t="str">
            <v>-</v>
          </cell>
        </row>
        <row r="31">
          <cell r="K31" t="str">
            <v>CARTÃO-Gasto c Credito</v>
          </cell>
          <cell r="L31" t="str">
            <v>CARTÃO</v>
          </cell>
          <cell r="M31" t="str">
            <v>Gasto c Credito</v>
          </cell>
          <cell r="N31" t="str">
            <v>Cartão</v>
          </cell>
          <cell r="O31" t="str">
            <v>-</v>
          </cell>
        </row>
        <row r="32">
          <cell r="K32" t="str">
            <v>CUIDADOS PESSOAIS-barbearia</v>
          </cell>
          <cell r="L32" t="str">
            <v>CUIDADOS PESSOAIS</v>
          </cell>
          <cell r="M32" t="str">
            <v>barbearia</v>
          </cell>
          <cell r="N32" t="str">
            <v>Cuidados Pessoais</v>
          </cell>
          <cell r="O32" t="str">
            <v>Barbearia</v>
          </cell>
        </row>
        <row r="33">
          <cell r="K33" t="str">
            <v>CUIDADOS PESSOAIS-farmacia</v>
          </cell>
          <cell r="L33" t="str">
            <v>CUIDADOS PESSOAIS</v>
          </cell>
          <cell r="M33" t="str">
            <v>farmacia</v>
          </cell>
          <cell r="N33" t="str">
            <v>Saúde</v>
          </cell>
          <cell r="O33" t="str">
            <v>Farmácia</v>
          </cell>
        </row>
        <row r="34">
          <cell r="K34" t="str">
            <v>CUIDADOS PESSOAIS-DENTISTA</v>
          </cell>
          <cell r="L34" t="str">
            <v>CUIDADOS PESSOAIS</v>
          </cell>
          <cell r="M34" t="str">
            <v>DENTISTA</v>
          </cell>
          <cell r="N34" t="str">
            <v>Saúde</v>
          </cell>
          <cell r="O34" t="str">
            <v>Dentista</v>
          </cell>
        </row>
        <row r="35">
          <cell r="K35" t="str">
            <v>CUIDADOS PESSOAIS-cabelo</v>
          </cell>
          <cell r="L35" t="str">
            <v>CUIDADOS PESSOAIS</v>
          </cell>
          <cell r="M35" t="str">
            <v>cabelo</v>
          </cell>
          <cell r="N35" t="str">
            <v>Cuidados Pessoais</v>
          </cell>
          <cell r="O35" t="str">
            <v>Barbearia</v>
          </cell>
        </row>
        <row r="36">
          <cell r="K36" t="str">
            <v>CUIDADOS PESSOAIS-vans</v>
          </cell>
          <cell r="L36" t="str">
            <v>CUIDADOS PESSOAIS</v>
          </cell>
          <cell r="M36" t="str">
            <v>vans</v>
          </cell>
          <cell r="N36" t="str">
            <v>Vestuário &amp; Acessórios</v>
          </cell>
          <cell r="O36" t="str">
            <v>Roupas</v>
          </cell>
        </row>
        <row r="37">
          <cell r="K37" t="str">
            <v>CUIDADOS PESSOAIS-aramis</v>
          </cell>
          <cell r="L37" t="str">
            <v>CUIDADOS PESSOAIS</v>
          </cell>
          <cell r="M37" t="str">
            <v>aramis</v>
          </cell>
          <cell r="N37" t="str">
            <v>Vestuário &amp; Acessórios</v>
          </cell>
          <cell r="O37" t="str">
            <v>Roupas</v>
          </cell>
        </row>
        <row r="38">
          <cell r="K38" t="str">
            <v>CUIDADOS PESSOAIS-renner</v>
          </cell>
          <cell r="L38" t="str">
            <v>CUIDADOS PESSOAIS</v>
          </cell>
          <cell r="M38" t="str">
            <v>renner</v>
          </cell>
          <cell r="N38" t="str">
            <v>Vestuário &amp; Acessórios</v>
          </cell>
          <cell r="O38" t="str">
            <v>Roupas</v>
          </cell>
        </row>
        <row r="39">
          <cell r="K39" t="str">
            <v>CUIDADOS PESSOAIS-THE CHAMPS - A BARBEAR</v>
          </cell>
          <cell r="L39" t="str">
            <v>CUIDADOS PESSOAIS</v>
          </cell>
          <cell r="M39" t="str">
            <v>THE CHAMPS - A BARBEAR</v>
          </cell>
          <cell r="N39" t="str">
            <v>Cuidados Pessoais</v>
          </cell>
          <cell r="O39" t="str">
            <v>Barbearia</v>
          </cell>
        </row>
        <row r="40">
          <cell r="K40" t="str">
            <v>CUIDADOS PESSOAIS-CAPINHA CELULAR</v>
          </cell>
          <cell r="L40" t="str">
            <v>CUIDADOS PESSOAIS</v>
          </cell>
          <cell r="M40" t="str">
            <v>CAPINHA CELULAR</v>
          </cell>
          <cell r="N40" t="str">
            <v>Vestuário &amp; Acessórios</v>
          </cell>
          <cell r="O40" t="str">
            <v>Acessórios</v>
          </cell>
        </row>
        <row r="41">
          <cell r="K41" t="str">
            <v>CURSO-curso</v>
          </cell>
          <cell r="L41" t="str">
            <v>CURSO</v>
          </cell>
          <cell r="M41" t="str">
            <v>curso</v>
          </cell>
          <cell r="N41" t="str">
            <v>Desenvolvimento</v>
          </cell>
          <cell r="O41" t="str">
            <v>Cursos</v>
          </cell>
        </row>
        <row r="42">
          <cell r="K42" t="str">
            <v>EDUCAÇÃO-curso</v>
          </cell>
          <cell r="L42" t="str">
            <v>EDUCAÇÃO</v>
          </cell>
          <cell r="M42" t="str">
            <v>curso</v>
          </cell>
          <cell r="N42" t="str">
            <v>Desenvolvimento</v>
          </cell>
          <cell r="O42" t="str">
            <v>Cursos</v>
          </cell>
        </row>
        <row r="43">
          <cell r="K43" t="str">
            <v>Gasolina-posto</v>
          </cell>
          <cell r="L43" t="str">
            <v>Gasolina</v>
          </cell>
          <cell r="M43" t="str">
            <v>posto</v>
          </cell>
          <cell r="N43" t="str">
            <v>Transporte</v>
          </cell>
          <cell r="O43" t="str">
            <v>Gasolina</v>
          </cell>
        </row>
        <row r="44">
          <cell r="K44" t="str">
            <v>INVESTIMENTO-investimento</v>
          </cell>
          <cell r="L44" t="str">
            <v>INVESTIMENTO</v>
          </cell>
          <cell r="M44" t="str">
            <v>investimento</v>
          </cell>
          <cell r="N44" t="str">
            <v>Investimentos</v>
          </cell>
          <cell r="O44" t="str">
            <v>Renda Fixa</v>
          </cell>
        </row>
        <row r="45">
          <cell r="K45" t="str">
            <v>INVESTIMENTO-aplicação CDB</v>
          </cell>
          <cell r="L45" t="str">
            <v>INVESTIMENTO</v>
          </cell>
          <cell r="M45" t="str">
            <v>aplicação CDB</v>
          </cell>
          <cell r="N45" t="str">
            <v>Investimentos</v>
          </cell>
          <cell r="O45" t="str">
            <v>Renda Fixa</v>
          </cell>
        </row>
        <row r="46">
          <cell r="K46" t="str">
            <v>INVESTIMENTO-XPML11</v>
          </cell>
          <cell r="L46" t="str">
            <v>INVESTIMENTO</v>
          </cell>
          <cell r="M46" t="str">
            <v>XPML11</v>
          </cell>
          <cell r="N46" t="str">
            <v>Investimentos</v>
          </cell>
          <cell r="O46" t="str">
            <v>FII</v>
          </cell>
        </row>
        <row r="47">
          <cell r="K47" t="str">
            <v>INVESTIMENTO-PVBI11</v>
          </cell>
          <cell r="L47" t="str">
            <v>INVESTIMENTO</v>
          </cell>
          <cell r="M47" t="str">
            <v>PVBI11</v>
          </cell>
          <cell r="N47" t="str">
            <v>Investimentos</v>
          </cell>
          <cell r="O47" t="str">
            <v>FII</v>
          </cell>
        </row>
        <row r="48">
          <cell r="K48" t="str">
            <v>INVESTIMENTO-Investimento FIIs</v>
          </cell>
          <cell r="L48" t="str">
            <v>INVESTIMENTO</v>
          </cell>
          <cell r="M48" t="str">
            <v>Investimento FIIs</v>
          </cell>
          <cell r="N48" t="str">
            <v>Investimentos</v>
          </cell>
          <cell r="O48" t="str">
            <v>FII</v>
          </cell>
        </row>
        <row r="49">
          <cell r="K49" t="str">
            <v>INVESTIMENTO-WRLD11</v>
          </cell>
          <cell r="L49" t="str">
            <v>INVESTIMENTO</v>
          </cell>
          <cell r="M49" t="str">
            <v>WRLD11</v>
          </cell>
          <cell r="N49" t="str">
            <v>Investimentos</v>
          </cell>
          <cell r="O49" t="str">
            <v>Renda variável</v>
          </cell>
        </row>
        <row r="50">
          <cell r="K50" t="str">
            <v>INVESTIMENTO-dividendos investimento</v>
          </cell>
          <cell r="L50" t="str">
            <v>INVESTIMENTO</v>
          </cell>
          <cell r="M50" t="str">
            <v>dividendos investimento</v>
          </cell>
          <cell r="N50" t="str">
            <v>Investimentos</v>
          </cell>
          <cell r="O50" t="str">
            <v>Rendimentos/Dividendos</v>
          </cell>
        </row>
        <row r="51">
          <cell r="K51" t="str">
            <v>INVESTIMENTO-prev privada</v>
          </cell>
          <cell r="L51" t="str">
            <v>INVESTIMENTO</v>
          </cell>
          <cell r="M51" t="str">
            <v>prev privada</v>
          </cell>
          <cell r="N51" t="str">
            <v>Investimentos</v>
          </cell>
          <cell r="O51" t="str">
            <v>Previdência Privada</v>
          </cell>
        </row>
        <row r="52">
          <cell r="K52" t="str">
            <v>INVESTIMENTO-Rent.inv.facil</v>
          </cell>
          <cell r="L52" t="str">
            <v>INVESTIMENTO</v>
          </cell>
          <cell r="M52" t="str">
            <v>Rent.inv.facil</v>
          </cell>
          <cell r="N52" t="str">
            <v>Investimentos</v>
          </cell>
          <cell r="O52" t="str">
            <v>Rendimentos/Dividendos</v>
          </cell>
        </row>
        <row r="53">
          <cell r="K53" t="str">
            <v>INVESTIMENTO-Pgto Rend - b3</v>
          </cell>
          <cell r="L53" t="str">
            <v>INVESTIMENTO</v>
          </cell>
          <cell r="M53" t="str">
            <v>Pgto Rend - b3</v>
          </cell>
          <cell r="N53" t="str">
            <v>Investimentos</v>
          </cell>
          <cell r="O53" t="str">
            <v>Rendimentos/Dividendos</v>
          </cell>
        </row>
        <row r="54">
          <cell r="K54" t="str">
            <v>INVESTIMENTO-Aplicacao Cdb</v>
          </cell>
          <cell r="L54" t="str">
            <v>INVESTIMENTO</v>
          </cell>
          <cell r="M54" t="str">
            <v>Aplicacao Cdb</v>
          </cell>
          <cell r="N54" t="str">
            <v>Investimentos</v>
          </cell>
          <cell r="O54" t="str">
            <v>Renda Fixa</v>
          </cell>
        </row>
        <row r="55">
          <cell r="K55" t="str">
            <v xml:space="preserve">LAZER-PIX </v>
          </cell>
          <cell r="L55" t="str">
            <v>LAZER</v>
          </cell>
          <cell r="M55" t="str">
            <v xml:space="preserve">PIX </v>
          </cell>
          <cell r="N55" t="str">
            <v>Lazer</v>
          </cell>
          <cell r="O55" t="str">
            <v>Pix</v>
          </cell>
        </row>
        <row r="56">
          <cell r="K56" t="str">
            <v>LAZER-cerveja</v>
          </cell>
          <cell r="L56" t="str">
            <v>LAZER</v>
          </cell>
          <cell r="M56" t="str">
            <v>cerveja</v>
          </cell>
          <cell r="N56" t="str">
            <v>Lazer</v>
          </cell>
          <cell r="O56" t="str">
            <v>Bar</v>
          </cell>
        </row>
        <row r="57">
          <cell r="K57" t="str">
            <v>LAZER-c do padre</v>
          </cell>
          <cell r="L57" t="str">
            <v>LAZER</v>
          </cell>
          <cell r="M57" t="str">
            <v>c do padre</v>
          </cell>
          <cell r="N57" t="str">
            <v>Lazer</v>
          </cell>
          <cell r="O57" t="str">
            <v>Bar</v>
          </cell>
        </row>
        <row r="58">
          <cell r="K58" t="str">
            <v>LAZER-dalton pipes</v>
          </cell>
          <cell r="L58" t="str">
            <v>LAZER</v>
          </cell>
          <cell r="M58" t="str">
            <v>dalton pipes</v>
          </cell>
          <cell r="N58" t="str">
            <v>Lazer</v>
          </cell>
          <cell r="O58" t="str">
            <v>Banca</v>
          </cell>
        </row>
        <row r="59">
          <cell r="K59" t="str">
            <v>LAZER-Cinema</v>
          </cell>
          <cell r="L59" t="str">
            <v>LAZER</v>
          </cell>
          <cell r="M59" t="str">
            <v>Cinema</v>
          </cell>
          <cell r="N59" t="str">
            <v>Lazer</v>
          </cell>
          <cell r="O59" t="str">
            <v>Cinema</v>
          </cell>
        </row>
        <row r="60">
          <cell r="K60" t="str">
            <v>LAZER-role</v>
          </cell>
          <cell r="L60" t="str">
            <v>LAZER</v>
          </cell>
          <cell r="M60" t="str">
            <v>role</v>
          </cell>
          <cell r="N60" t="str">
            <v>Lazer</v>
          </cell>
          <cell r="O60" t="str">
            <v>Bar</v>
          </cell>
        </row>
        <row r="61">
          <cell r="K61" t="str">
            <v>LAZER-BOMA</v>
          </cell>
          <cell r="L61" t="str">
            <v>LAZER</v>
          </cell>
          <cell r="M61" t="str">
            <v>BOMA</v>
          </cell>
          <cell r="N61" t="str">
            <v>Lazer</v>
          </cell>
          <cell r="O61" t="str">
            <v>Show</v>
          </cell>
        </row>
        <row r="62">
          <cell r="K62" t="str">
            <v>LAZER-BELISCO BAR</v>
          </cell>
          <cell r="L62" t="str">
            <v>LAZER</v>
          </cell>
          <cell r="M62" t="str">
            <v>BELISCO BAR</v>
          </cell>
          <cell r="N62" t="str">
            <v>Lazer</v>
          </cell>
          <cell r="O62" t="str">
            <v>Bar</v>
          </cell>
        </row>
        <row r="63">
          <cell r="K63" t="str">
            <v>LAZER-OXXO</v>
          </cell>
          <cell r="L63" t="str">
            <v>LAZER</v>
          </cell>
          <cell r="M63" t="str">
            <v>OXXO</v>
          </cell>
          <cell r="N63" t="str">
            <v>Alimentação</v>
          </cell>
          <cell r="O63" t="str">
            <v>mercado</v>
          </cell>
        </row>
        <row r="64">
          <cell r="K64" t="str">
            <v>LAZER-festa morita</v>
          </cell>
          <cell r="L64" t="str">
            <v>LAZER</v>
          </cell>
          <cell r="M64" t="str">
            <v>festa morita</v>
          </cell>
          <cell r="N64" t="str">
            <v>Lazer</v>
          </cell>
          <cell r="O64" t="str">
            <v>Bar</v>
          </cell>
        </row>
        <row r="65">
          <cell r="K65" t="str">
            <v>LAZER-gastos cartao</v>
          </cell>
          <cell r="L65" t="str">
            <v>LAZER</v>
          </cell>
          <cell r="M65" t="str">
            <v>gastos cartao</v>
          </cell>
          <cell r="N65" t="str">
            <v>Cartão</v>
          </cell>
          <cell r="O65" t="str">
            <v>-</v>
          </cell>
        </row>
        <row r="66">
          <cell r="K66" t="str">
            <v>LAZER-banca</v>
          </cell>
          <cell r="L66" t="str">
            <v>LAZER</v>
          </cell>
          <cell r="M66" t="str">
            <v>banca</v>
          </cell>
          <cell r="N66" t="str">
            <v>Lazer</v>
          </cell>
          <cell r="O66" t="str">
            <v>Banca</v>
          </cell>
        </row>
        <row r="67">
          <cell r="K67" t="str">
            <v>LAZER-pix</v>
          </cell>
          <cell r="L67" t="str">
            <v>LAZER</v>
          </cell>
          <cell r="M67" t="str">
            <v>pix</v>
          </cell>
          <cell r="N67" t="str">
            <v>Lazer</v>
          </cell>
          <cell r="O67" t="str">
            <v>Pix</v>
          </cell>
        </row>
        <row r="68">
          <cell r="K68" t="str">
            <v>LAZER-bar</v>
          </cell>
          <cell r="L68" t="str">
            <v>LAZER</v>
          </cell>
          <cell r="M68" t="str">
            <v>bar</v>
          </cell>
          <cell r="N68" t="str">
            <v>Lazer</v>
          </cell>
          <cell r="O68" t="str">
            <v>Bar</v>
          </cell>
        </row>
        <row r="69">
          <cell r="K69" t="str">
            <v>LAZER-estacionamento</v>
          </cell>
          <cell r="L69" t="str">
            <v>LAZER</v>
          </cell>
          <cell r="M69" t="str">
            <v>estacionamento</v>
          </cell>
          <cell r="N69" t="str">
            <v>Transporte</v>
          </cell>
          <cell r="O69" t="str">
            <v>Estacionamento</v>
          </cell>
        </row>
        <row r="70">
          <cell r="K70" t="str">
            <v>LAZER-pod</v>
          </cell>
          <cell r="L70" t="str">
            <v>LAZER</v>
          </cell>
          <cell r="M70" t="str">
            <v>pod</v>
          </cell>
          <cell r="N70" t="str">
            <v>Lazer</v>
          </cell>
          <cell r="O70" t="str">
            <v>Banca</v>
          </cell>
        </row>
        <row r="71">
          <cell r="K71" t="str">
            <v>LAZER-borda - bar</v>
          </cell>
          <cell r="L71" t="str">
            <v>LAZER</v>
          </cell>
          <cell r="M71" t="str">
            <v>borda - bar</v>
          </cell>
          <cell r="N71" t="str">
            <v>Lazer</v>
          </cell>
          <cell r="O71" t="str">
            <v>Bar</v>
          </cell>
        </row>
        <row r="72">
          <cell r="K72" t="str">
            <v>LAZER-presente cabral</v>
          </cell>
          <cell r="L72" t="str">
            <v>LAZER</v>
          </cell>
          <cell r="M72" t="str">
            <v>presente cabral</v>
          </cell>
          <cell r="N72" t="str">
            <v>Lazer</v>
          </cell>
          <cell r="O72" t="str">
            <v>Acessórios Diversos</v>
          </cell>
        </row>
        <row r="73">
          <cell r="K73" t="str">
            <v>LAZER-blacktag</v>
          </cell>
          <cell r="L73" t="str">
            <v>LAZER</v>
          </cell>
          <cell r="M73" t="str">
            <v>blacktag</v>
          </cell>
          <cell r="N73" t="str">
            <v>Lazer</v>
          </cell>
          <cell r="O73" t="str">
            <v>Role</v>
          </cell>
        </row>
        <row r="74">
          <cell r="K74" t="str">
            <v>LAZER-praia</v>
          </cell>
          <cell r="L74" t="str">
            <v>LAZER</v>
          </cell>
          <cell r="M74" t="str">
            <v>praia</v>
          </cell>
          <cell r="N74" t="str">
            <v>Lazer</v>
          </cell>
          <cell r="O74" t="str">
            <v>Role</v>
          </cell>
        </row>
        <row r="75">
          <cell r="K75" t="str">
            <v>LAZER-posto</v>
          </cell>
          <cell r="L75" t="str">
            <v>LAZER</v>
          </cell>
          <cell r="M75" t="str">
            <v>posto</v>
          </cell>
          <cell r="N75" t="str">
            <v>Transporte</v>
          </cell>
          <cell r="O75" t="str">
            <v>Gasolina</v>
          </cell>
        </row>
        <row r="76">
          <cell r="K76" t="str">
            <v>LAZER-PIX LUCAS</v>
          </cell>
          <cell r="L76" t="str">
            <v>LAZER</v>
          </cell>
          <cell r="M76" t="str">
            <v>PIX LUCAS</v>
          </cell>
          <cell r="N76" t="str">
            <v>Lazer</v>
          </cell>
          <cell r="O76" t="str">
            <v>Pix</v>
          </cell>
        </row>
        <row r="77">
          <cell r="K77" t="str">
            <v>LAZER-HEAVY HOUSE</v>
          </cell>
          <cell r="L77" t="str">
            <v>LAZER</v>
          </cell>
          <cell r="M77" t="str">
            <v>HEAVY HOUSE</v>
          </cell>
          <cell r="N77" t="str">
            <v>Lazer</v>
          </cell>
          <cell r="O77" t="str">
            <v>Balada</v>
          </cell>
        </row>
        <row r="78">
          <cell r="K78" t="str">
            <v>LAZER-bar do velho</v>
          </cell>
          <cell r="L78" t="str">
            <v>LAZER</v>
          </cell>
          <cell r="M78" t="str">
            <v>bar do velho</v>
          </cell>
          <cell r="N78" t="str">
            <v>Lazer</v>
          </cell>
          <cell r="O78" t="str">
            <v>Bar</v>
          </cell>
        </row>
        <row r="79">
          <cell r="K79" t="str">
            <v>LAZER-bolão</v>
          </cell>
          <cell r="L79" t="str">
            <v>LAZER</v>
          </cell>
          <cell r="M79" t="str">
            <v>bolão</v>
          </cell>
          <cell r="N79" t="str">
            <v>Lazer</v>
          </cell>
          <cell r="O79" t="str">
            <v>Acessórios Diversos</v>
          </cell>
        </row>
        <row r="80">
          <cell r="K80" t="str">
            <v>LAZER-barbas</v>
          </cell>
          <cell r="L80" t="str">
            <v>LAZER</v>
          </cell>
          <cell r="M80" t="str">
            <v>barbas</v>
          </cell>
          <cell r="N80" t="str">
            <v>Lazer</v>
          </cell>
          <cell r="O80" t="str">
            <v>Bar</v>
          </cell>
        </row>
        <row r="81">
          <cell r="K81" t="str">
            <v>LAZER-bar osasco podre</v>
          </cell>
          <cell r="L81" t="str">
            <v>LAZER</v>
          </cell>
          <cell r="M81" t="str">
            <v>bar osasco podre</v>
          </cell>
          <cell r="N81" t="str">
            <v>Lazer</v>
          </cell>
          <cell r="O81" t="str">
            <v>Bar</v>
          </cell>
        </row>
        <row r="82">
          <cell r="K82" t="str">
            <v>LAZER-jogo</v>
          </cell>
          <cell r="L82" t="str">
            <v>LAZER</v>
          </cell>
          <cell r="M82" t="str">
            <v>jogo</v>
          </cell>
          <cell r="N82" t="str">
            <v>Lazer</v>
          </cell>
          <cell r="O82" t="str">
            <v>Videogames</v>
          </cell>
        </row>
        <row r="83">
          <cell r="K83" t="str">
            <v>LAZER-martinelli</v>
          </cell>
          <cell r="L83" t="str">
            <v>LAZER</v>
          </cell>
          <cell r="M83" t="str">
            <v>martinelli</v>
          </cell>
          <cell r="N83" t="str">
            <v>Lazer</v>
          </cell>
          <cell r="O83" t="str">
            <v>Balada</v>
          </cell>
        </row>
        <row r="84">
          <cell r="K84" t="str">
            <v>LAZER-centauro</v>
          </cell>
          <cell r="L84" t="str">
            <v>LAZER</v>
          </cell>
          <cell r="M84" t="str">
            <v>centauro</v>
          </cell>
          <cell r="N84" t="str">
            <v>Lazer</v>
          </cell>
          <cell r="O84" t="str">
            <v>Acessórios Diversos</v>
          </cell>
        </row>
        <row r="85">
          <cell r="K85" t="str">
            <v>LAZER-OF</v>
          </cell>
          <cell r="L85" t="str">
            <v>LAZER</v>
          </cell>
          <cell r="M85" t="str">
            <v>OF</v>
          </cell>
          <cell r="N85" t="str">
            <v>Lazer</v>
          </cell>
          <cell r="O85" t="str">
            <v>Acessórios Diversos</v>
          </cell>
        </row>
        <row r="86">
          <cell r="K86" t="str">
            <v>LAZER-cu do padre</v>
          </cell>
          <cell r="L86" t="str">
            <v>LAZER</v>
          </cell>
          <cell r="M86" t="str">
            <v>cu do padre</v>
          </cell>
          <cell r="N86" t="str">
            <v>Lazer</v>
          </cell>
          <cell r="O86" t="str">
            <v>Bar</v>
          </cell>
        </row>
        <row r="87">
          <cell r="K87" t="str">
            <v>LAZER-bar leh</v>
          </cell>
          <cell r="L87" t="str">
            <v>LAZER</v>
          </cell>
          <cell r="M87" t="str">
            <v>bar leh</v>
          </cell>
          <cell r="N87" t="str">
            <v>Lazer</v>
          </cell>
          <cell r="O87" t="str">
            <v>Bar</v>
          </cell>
        </row>
        <row r="88">
          <cell r="K88" t="str">
            <v>LAZER-SONDA AGUA BRANCA</v>
          </cell>
          <cell r="L88" t="str">
            <v>LAZER</v>
          </cell>
          <cell r="M88" t="str">
            <v>SONDA AGUA BRANCA</v>
          </cell>
          <cell r="N88" t="str">
            <v>Alimentação</v>
          </cell>
          <cell r="O88" t="str">
            <v>Mercado</v>
          </cell>
        </row>
        <row r="89">
          <cell r="K89" t="str">
            <v>LAZER-IOF S/ TRANS INTER REAIS</v>
          </cell>
          <cell r="L89" t="str">
            <v>LAZER</v>
          </cell>
          <cell r="M89" t="str">
            <v>IOF S/ TRANS INTER REAIS</v>
          </cell>
          <cell r="N89" t="str">
            <v>Cartão</v>
          </cell>
          <cell r="O89" t="str">
            <v>IOF</v>
          </cell>
        </row>
        <row r="90">
          <cell r="K90" t="str">
            <v>LAZER-D-EDGE FESTIVAL</v>
          </cell>
          <cell r="L90" t="str">
            <v>LAZER</v>
          </cell>
          <cell r="M90" t="str">
            <v>D-EDGE FESTIVAL</v>
          </cell>
          <cell r="N90" t="str">
            <v>Lazer</v>
          </cell>
          <cell r="O90" t="str">
            <v>Show</v>
          </cell>
        </row>
        <row r="91">
          <cell r="K91" t="str">
            <v>LAZER-pix role</v>
          </cell>
          <cell r="L91" t="str">
            <v>LAZER</v>
          </cell>
          <cell r="M91" t="str">
            <v>pix role</v>
          </cell>
          <cell r="N91" t="str">
            <v>Lazer</v>
          </cell>
          <cell r="O91" t="str">
            <v>Pix</v>
          </cell>
        </row>
        <row r="92">
          <cell r="K92" t="str">
            <v>LAZER-TROFEU CERVEGAMES</v>
          </cell>
          <cell r="L92" t="str">
            <v>LAZER</v>
          </cell>
          <cell r="M92" t="str">
            <v>TROFEU CERVEGAMES</v>
          </cell>
          <cell r="N92" t="str">
            <v>Lazer</v>
          </cell>
          <cell r="O92" t="str">
            <v>Acessórios Diversos</v>
          </cell>
        </row>
        <row r="93">
          <cell r="K93" t="str">
            <v>LAZER-adesivo cervegames</v>
          </cell>
          <cell r="L93" t="str">
            <v>LAZER</v>
          </cell>
          <cell r="M93" t="str">
            <v>adesivo cervegames</v>
          </cell>
          <cell r="N93" t="str">
            <v>Lazer</v>
          </cell>
          <cell r="O93" t="str">
            <v>Acessórios Diversos</v>
          </cell>
        </row>
        <row r="94">
          <cell r="K94" t="str">
            <v>LAZER-ZIG*AMATA</v>
          </cell>
          <cell r="L94" t="str">
            <v>LAZER</v>
          </cell>
          <cell r="M94" t="str">
            <v>ZIG*AMATA</v>
          </cell>
          <cell r="N94" t="str">
            <v>Lazer</v>
          </cell>
          <cell r="O94" t="str">
            <v>Balada</v>
          </cell>
        </row>
        <row r="95">
          <cell r="K95" t="str">
            <v>LAZER-CASA BATIDA</v>
          </cell>
          <cell r="L95" t="str">
            <v>LAZER</v>
          </cell>
          <cell r="M95" t="str">
            <v>CASA BATIDA</v>
          </cell>
          <cell r="N95" t="str">
            <v>Lazer</v>
          </cell>
          <cell r="O95" t="str">
            <v>Bar</v>
          </cell>
        </row>
        <row r="96">
          <cell r="K96" t="str">
            <v>LAZER-carnaval - bebida</v>
          </cell>
          <cell r="L96" t="str">
            <v>LAZER</v>
          </cell>
          <cell r="M96" t="str">
            <v>carnaval - bebida</v>
          </cell>
          <cell r="N96" t="str">
            <v>Lazer</v>
          </cell>
          <cell r="O96" t="str">
            <v>Role</v>
          </cell>
        </row>
        <row r="97">
          <cell r="K97" t="str">
            <v>LAZER-formatura leh</v>
          </cell>
          <cell r="L97" t="str">
            <v>LAZER</v>
          </cell>
          <cell r="M97" t="str">
            <v>formatura leh</v>
          </cell>
          <cell r="N97" t="str">
            <v>Lazer</v>
          </cell>
          <cell r="O97" t="str">
            <v>Role</v>
          </cell>
        </row>
        <row r="98">
          <cell r="K98" t="str">
            <v>LAZER-Cervegames</v>
          </cell>
          <cell r="L98" t="str">
            <v>LAZER</v>
          </cell>
          <cell r="M98" t="str">
            <v>Cervegames</v>
          </cell>
          <cell r="N98" t="str">
            <v>Lazer</v>
          </cell>
          <cell r="O98" t="str">
            <v>Role</v>
          </cell>
        </row>
        <row r="99">
          <cell r="K99" t="str">
            <v>LAZER-chopeira</v>
          </cell>
          <cell r="L99" t="str">
            <v>LAZER</v>
          </cell>
          <cell r="M99" t="str">
            <v>chopeira</v>
          </cell>
          <cell r="N99" t="str">
            <v>Lazer</v>
          </cell>
          <cell r="O99" t="str">
            <v>Role</v>
          </cell>
        </row>
        <row r="100">
          <cell r="K100" t="str">
            <v>LAZER-sanduiche de metro</v>
          </cell>
          <cell r="L100" t="str">
            <v>LAZER</v>
          </cell>
          <cell r="M100" t="str">
            <v>sanduiche de metro</v>
          </cell>
          <cell r="N100" t="str">
            <v>Lazer</v>
          </cell>
          <cell r="O100" t="str">
            <v>Role</v>
          </cell>
        </row>
        <row r="101">
          <cell r="K101" t="str">
            <v>MARKETING-spyads - mkt</v>
          </cell>
          <cell r="L101" t="str">
            <v>MARKETING</v>
          </cell>
          <cell r="M101" t="str">
            <v>spyads - mkt</v>
          </cell>
          <cell r="N101" t="str">
            <v>Assinatura</v>
          </cell>
          <cell r="O101" t="str">
            <v>Rateio</v>
          </cell>
        </row>
        <row r="102">
          <cell r="K102" t="str">
            <v>MARKETING-PEROLA NEGRA - MKT</v>
          </cell>
          <cell r="L102" t="str">
            <v>MARKETING</v>
          </cell>
          <cell r="M102" t="str">
            <v>PEROLA NEGRA - MKT</v>
          </cell>
          <cell r="N102" t="str">
            <v>Assinatura</v>
          </cell>
          <cell r="O102" t="str">
            <v>Serviço</v>
          </cell>
        </row>
        <row r="103">
          <cell r="K103" t="str">
            <v>NATI-flores nati</v>
          </cell>
          <cell r="L103" t="str">
            <v>NATI</v>
          </cell>
          <cell r="M103" t="str">
            <v>flores nati</v>
          </cell>
          <cell r="N103" t="str">
            <v>Relacionamento</v>
          </cell>
          <cell r="O103" t="str">
            <v>Nati</v>
          </cell>
        </row>
        <row r="104">
          <cell r="K104" t="str">
            <v>NATI-Presente nati</v>
          </cell>
          <cell r="L104" t="str">
            <v>NATI</v>
          </cell>
          <cell r="M104" t="str">
            <v>Presente nati</v>
          </cell>
          <cell r="N104" t="str">
            <v>Relacionamento</v>
          </cell>
          <cell r="O104" t="str">
            <v>Nati</v>
          </cell>
        </row>
        <row r="105">
          <cell r="K105" t="str">
            <v xml:space="preserve">PIX ROLE-PIX </v>
          </cell>
          <cell r="L105" t="str">
            <v>PIX ROLE</v>
          </cell>
          <cell r="M105" t="str">
            <v xml:space="preserve">PIX </v>
          </cell>
          <cell r="N105" t="str">
            <v>Lazer</v>
          </cell>
          <cell r="O105" t="str">
            <v>Role</v>
          </cell>
        </row>
        <row r="106">
          <cell r="K106" t="str">
            <v>PIX ROLE-pix pedrinho</v>
          </cell>
          <cell r="L106" t="str">
            <v>PIX ROLE</v>
          </cell>
          <cell r="M106" t="str">
            <v>pix pedrinho</v>
          </cell>
          <cell r="N106" t="str">
            <v>Lazer</v>
          </cell>
          <cell r="O106" t="str">
            <v>Role</v>
          </cell>
        </row>
        <row r="107">
          <cell r="K107" t="str">
            <v>PIX ROLE-pix</v>
          </cell>
          <cell r="L107" t="str">
            <v>PIX ROLE</v>
          </cell>
          <cell r="M107" t="str">
            <v>pix</v>
          </cell>
          <cell r="N107" t="str">
            <v>Lazer</v>
          </cell>
          <cell r="O107" t="str">
            <v>Role</v>
          </cell>
        </row>
        <row r="108">
          <cell r="K108" t="str">
            <v>PIX ROLE-pix leh role</v>
          </cell>
          <cell r="L108" t="str">
            <v>PIX ROLE</v>
          </cell>
          <cell r="M108" t="str">
            <v>pix leh role</v>
          </cell>
          <cell r="N108" t="str">
            <v>Lazer</v>
          </cell>
          <cell r="O108" t="str">
            <v>Role</v>
          </cell>
        </row>
        <row r="109">
          <cell r="K109" t="str">
            <v>PIX ROLE-pix zord</v>
          </cell>
          <cell r="L109" t="str">
            <v>PIX ROLE</v>
          </cell>
          <cell r="M109" t="str">
            <v>pix zord</v>
          </cell>
          <cell r="N109" t="str">
            <v>Lazer</v>
          </cell>
          <cell r="O109" t="str">
            <v>Role</v>
          </cell>
        </row>
        <row r="110">
          <cell r="K110" t="str">
            <v>PIX ROLE-pix hamburguer guide</v>
          </cell>
          <cell r="L110" t="str">
            <v>PIX ROLE</v>
          </cell>
          <cell r="M110" t="str">
            <v>pix hamburguer guide</v>
          </cell>
          <cell r="N110" t="str">
            <v>Lazer</v>
          </cell>
          <cell r="O110" t="str">
            <v>Role</v>
          </cell>
        </row>
        <row r="111">
          <cell r="K111" t="str">
            <v>PIX ROLE-pix nati</v>
          </cell>
          <cell r="L111" t="str">
            <v>PIX ROLE</v>
          </cell>
          <cell r="M111" t="str">
            <v>pix nati</v>
          </cell>
          <cell r="N111" t="str">
            <v>Lazer</v>
          </cell>
          <cell r="O111" t="str">
            <v>Role</v>
          </cell>
        </row>
        <row r="112">
          <cell r="K112" t="str">
            <v>PIX ROLE-pix renan</v>
          </cell>
          <cell r="L112" t="str">
            <v>PIX ROLE</v>
          </cell>
          <cell r="M112" t="str">
            <v>pix renan</v>
          </cell>
          <cell r="N112" t="str">
            <v>Lazer</v>
          </cell>
          <cell r="O112" t="str">
            <v>Role</v>
          </cell>
        </row>
        <row r="113">
          <cell r="K113" t="str">
            <v>PIX ROLE-uber franco pix</v>
          </cell>
          <cell r="L113" t="str">
            <v>PIX ROLE</v>
          </cell>
          <cell r="M113" t="str">
            <v>uber franco pix</v>
          </cell>
          <cell r="N113" t="str">
            <v>Lazer</v>
          </cell>
          <cell r="O113" t="str">
            <v>Role</v>
          </cell>
        </row>
        <row r="114">
          <cell r="K114" t="str">
            <v>PIX ROLE-PRESENTE MAMAE</v>
          </cell>
          <cell r="L114" t="str">
            <v>PIX ROLE</v>
          </cell>
          <cell r="M114" t="str">
            <v>PRESENTE MAMAE</v>
          </cell>
          <cell r="N114" t="str">
            <v>Lazer</v>
          </cell>
          <cell r="O114" t="str">
            <v>Role</v>
          </cell>
        </row>
        <row r="115">
          <cell r="K115" t="str">
            <v>PIX ROLE-Transfe Pix</v>
          </cell>
          <cell r="L115" t="str">
            <v>PIX ROLE</v>
          </cell>
          <cell r="M115" t="str">
            <v>Transfe Pix</v>
          </cell>
          <cell r="N115" t="str">
            <v>Lazer</v>
          </cell>
          <cell r="O115" t="str">
            <v>Role</v>
          </cell>
        </row>
        <row r="116">
          <cell r="K116" t="str">
            <v>PIX ROLE-Cota</v>
          </cell>
          <cell r="L116" t="str">
            <v>PIX ROLE</v>
          </cell>
          <cell r="M116" t="str">
            <v>Cota</v>
          </cell>
          <cell r="N116" t="str">
            <v>Lazer</v>
          </cell>
          <cell r="O116" t="str">
            <v>Role</v>
          </cell>
        </row>
        <row r="117">
          <cell r="K117" t="str">
            <v>PIX ROLE-Transfe Pix NICO</v>
          </cell>
          <cell r="L117" t="str">
            <v>PIX ROLE</v>
          </cell>
          <cell r="M117" t="str">
            <v>Transfe Pix NICO</v>
          </cell>
          <cell r="N117" t="str">
            <v>Lazer</v>
          </cell>
          <cell r="O117" t="str">
            <v>Role</v>
          </cell>
        </row>
        <row r="118">
          <cell r="K118" t="str">
            <v>PIX ROLE-Transfe Pix Quental</v>
          </cell>
          <cell r="L118" t="str">
            <v>PIX ROLE</v>
          </cell>
          <cell r="M118" t="str">
            <v>Transfe Pix Quental</v>
          </cell>
          <cell r="N118" t="str">
            <v>Lazer</v>
          </cell>
          <cell r="O118" t="str">
            <v>Role</v>
          </cell>
        </row>
        <row r="119">
          <cell r="K119" t="str">
            <v>PIX VA-pix</v>
          </cell>
          <cell r="L119" t="str">
            <v>PIX VA</v>
          </cell>
          <cell r="M119" t="str">
            <v>pix</v>
          </cell>
          <cell r="N119" t="str">
            <v>Profissional</v>
          </cell>
          <cell r="O119" t="str">
            <v>VA</v>
          </cell>
        </row>
        <row r="120">
          <cell r="K120" t="str">
            <v>PLR-PLR</v>
          </cell>
          <cell r="L120" t="str">
            <v>PLR</v>
          </cell>
          <cell r="M120" t="str">
            <v>PLR</v>
          </cell>
          <cell r="N120" t="str">
            <v>Profissional</v>
          </cell>
          <cell r="O120" t="str">
            <v>PLR</v>
          </cell>
        </row>
        <row r="121">
          <cell r="K121" t="str">
            <v>PRESENTE-INSIDER - ISA</v>
          </cell>
          <cell r="L121" t="str">
            <v>PRESENTE</v>
          </cell>
          <cell r="M121" t="str">
            <v>INSIDER - ISA</v>
          </cell>
          <cell r="N121" t="str">
            <v>Lazer</v>
          </cell>
          <cell r="O121" t="str">
            <v>Acessórios Diversos</v>
          </cell>
        </row>
        <row r="122">
          <cell r="K122" t="str">
            <v>PRESENTE-pix presente</v>
          </cell>
          <cell r="L122" t="str">
            <v>PRESENTE</v>
          </cell>
          <cell r="M122" t="str">
            <v>pix presente</v>
          </cell>
          <cell r="N122" t="str">
            <v>Lazer</v>
          </cell>
          <cell r="O122" t="str">
            <v>Pix</v>
          </cell>
        </row>
        <row r="123">
          <cell r="K123" t="str">
            <v>PREV. PRIVADA-prev privada</v>
          </cell>
          <cell r="L123" t="str">
            <v>PREV. PRIVADA</v>
          </cell>
          <cell r="M123" t="str">
            <v>prev privada</v>
          </cell>
          <cell r="N123" t="str">
            <v>Investimentos</v>
          </cell>
          <cell r="O123" t="str">
            <v>Previdência Privada</v>
          </cell>
        </row>
        <row r="124">
          <cell r="K124" t="str">
            <v>REEMBOLSO-REEMBOLSO</v>
          </cell>
          <cell r="L124" t="str">
            <v>REEMBOLSO</v>
          </cell>
          <cell r="M124" t="str">
            <v>REEMBOLSO</v>
          </cell>
          <cell r="N124" t="str">
            <v>Profissional</v>
          </cell>
          <cell r="O124" t="str">
            <v>Reembolso</v>
          </cell>
        </row>
        <row r="125">
          <cell r="K125" t="str">
            <v>SALÁRIO-Salario clt</v>
          </cell>
          <cell r="L125" t="str">
            <v>SALÁRIO</v>
          </cell>
          <cell r="M125" t="str">
            <v>Salario clt</v>
          </cell>
          <cell r="N125" t="str">
            <v>Profissional</v>
          </cell>
          <cell r="O125" t="str">
            <v>Salário</v>
          </cell>
        </row>
        <row r="126">
          <cell r="K126" t="str">
            <v>SALÁRIO-13o salario</v>
          </cell>
          <cell r="L126" t="str">
            <v>SALÁRIO</v>
          </cell>
          <cell r="M126" t="str">
            <v>13o salario</v>
          </cell>
          <cell r="N126" t="str">
            <v>Profissional</v>
          </cell>
          <cell r="O126" t="str">
            <v>13o</v>
          </cell>
        </row>
        <row r="127">
          <cell r="K127" t="str">
            <v>TRANSPORTE-Concerto carro</v>
          </cell>
          <cell r="L127" t="str">
            <v>TRANSPORTE</v>
          </cell>
          <cell r="M127" t="str">
            <v>Concerto carro</v>
          </cell>
          <cell r="N127" t="str">
            <v>Transporte</v>
          </cell>
          <cell r="O127" t="str">
            <v>Manutenção do carro</v>
          </cell>
        </row>
        <row r="128">
          <cell r="K128" t="str">
            <v>TRANSPORTE-uber</v>
          </cell>
          <cell r="L128" t="str">
            <v>TRANSPORTE</v>
          </cell>
          <cell r="M128" t="str">
            <v>uber</v>
          </cell>
          <cell r="N128" t="str">
            <v>Transporte</v>
          </cell>
          <cell r="O128" t="str">
            <v>Uber/táxi</v>
          </cell>
        </row>
        <row r="129">
          <cell r="K129" t="str">
            <v>TRANSPORTE-99</v>
          </cell>
          <cell r="L129" t="str">
            <v>TRANSPORTE</v>
          </cell>
          <cell r="M129">
            <v>99</v>
          </cell>
          <cell r="N129" t="str">
            <v>Transporte</v>
          </cell>
          <cell r="O129" t="str">
            <v>Uber/táxi</v>
          </cell>
        </row>
        <row r="130">
          <cell r="K130" t="str">
            <v>VA-VA</v>
          </cell>
          <cell r="L130" t="str">
            <v>VA</v>
          </cell>
          <cell r="M130" t="str">
            <v>VA</v>
          </cell>
          <cell r="N130" t="str">
            <v>Profissional</v>
          </cell>
          <cell r="O130" t="str">
            <v>VA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ziano" refreshedDate="46076.57317048611" createdVersion="7" refreshedVersion="8" minRefreshableVersion="3" recordCount="263" xr:uid="{414C5EC2-2693-4F62-8AB6-45B8801765A2}">
  <cacheSource type="worksheet">
    <worksheetSource name="LANÇAMENTOS"/>
  </cacheSource>
  <cacheFields count="10">
    <cacheField name="Data" numFmtId="14">
      <sharedItems containsDate="1" containsMixedTypes="1" minDate="2025-08-22T00:00:00" maxDate="2026-02-19T00:00:00"/>
    </cacheField>
    <cacheField name="Mês" numFmtId="14">
      <sharedItems count="12">
        <s v="AGO"/>
        <s v="SET"/>
        <s v="OUT"/>
        <s v="NOV"/>
        <s v="DEZ"/>
        <s v="JAN"/>
        <s v="FEV"/>
        <s v="MAR" u="1"/>
        <s v="ABR" u="1"/>
        <s v="MAI" u="1"/>
        <s v="JUN" u="1"/>
        <s v="JUL" u="1"/>
      </sharedItems>
    </cacheField>
    <cacheField name="ANO" numFmtId="14">
      <sharedItems count="2">
        <s v="2025"/>
        <s v="2026"/>
      </sharedItems>
    </cacheField>
    <cacheField name="Descrição" numFmtId="0">
      <sharedItems containsMixedTypes="1" containsNumber="1" containsInteger="1" minValue="99" maxValue="99"/>
    </cacheField>
    <cacheField name="Tipo" numFmtId="0">
      <sharedItems containsBlank="1" count="4">
        <s v="Despesa"/>
        <s v="Receita"/>
        <s v="investimento"/>
        <m u="1"/>
      </sharedItems>
    </cacheField>
    <cacheField name="Categoria" numFmtId="0">
      <sharedItems containsBlank="1" count="30">
        <s v="ALIMENTAÇÃO"/>
        <s v="SALÁRIO"/>
        <s v="PREV. PRIVADA"/>
        <s v="TRANSPORTE"/>
        <s v="EDUCAÇÃO"/>
        <s v="LAZER"/>
        <s v="PIX ROLE"/>
        <s v="CARTÃO"/>
        <s v="CUIDADOS PESSOAIS"/>
        <s v="PLR"/>
        <s v="APARTAMENTO"/>
        <s v="INVESTIMENTO"/>
        <s v="MARKETING"/>
        <s v="NATI"/>
        <s v="Gasolina"/>
        <s v="PRESENTE"/>
        <s v="ASSINATURA"/>
        <s v="PIX VA"/>
        <s v="REEMBOLSO"/>
        <s v="CURSO"/>
        <s v="VA"/>
        <s v="CARRO" u="1"/>
        <s v="SALARIO" u="1"/>
        <m u="1"/>
        <s v="(D) Moradia" u="1"/>
        <s v="(R) Salário CLT" u="1"/>
        <s v="(D) Alimentação" u="1"/>
        <s v="(D) Educação" u="1"/>
        <s v="(D) Transporte" u="1"/>
        <s v="(R) Renda Extra" u="1"/>
      </sharedItems>
    </cacheField>
    <cacheField name="Receita" numFmtId="165">
      <sharedItems containsString="0" containsBlank="1" containsNumber="1" minValue="0.01" maxValue="5262.43"/>
    </cacheField>
    <cacheField name="Transferência" numFmtId="0">
      <sharedItems containsString="0" containsBlank="1" containsNumber="1" minValue="3.5" maxValue="3500" count="170">
        <n v="95.89"/>
        <n v="131.97999999999999"/>
        <n v="172.98"/>
        <m/>
        <n v="238.46"/>
        <n v="600"/>
        <n v="500"/>
        <n v="123"/>
        <n v="16.920000000000002"/>
        <n v="34"/>
        <n v="22"/>
        <n v="58.94"/>
        <n v="15"/>
        <n v="68.97"/>
        <n v="280"/>
        <n v="10"/>
        <n v="9.99"/>
        <n v="22.79"/>
        <n v="86"/>
        <n v="170"/>
        <n v="21"/>
        <n v="105"/>
        <n v="90"/>
        <n v="76.42"/>
        <n v="84"/>
        <n v="17.829999999999998"/>
        <n v="24.27"/>
        <n v="10.99"/>
        <n v="17.989999999999998"/>
        <n v="6"/>
        <n v="47.7"/>
        <n v="56.1"/>
        <n v="24.9"/>
        <n v="1429.23"/>
        <n v="62.28"/>
        <n v="14"/>
        <n v="57"/>
        <n v="252"/>
        <n v="245"/>
        <n v="70"/>
        <n v="49.7"/>
        <n v="79.61"/>
        <n v="124.89"/>
        <n v="1399.8"/>
        <n v="235.28"/>
        <n v="30.92"/>
        <n v="140"/>
        <n v="27.74"/>
        <n v="159.38"/>
        <n v="55"/>
        <n v="66"/>
        <n v="115"/>
        <n v="38.58"/>
        <n v="59.4"/>
        <n v="75.97"/>
        <n v="50"/>
        <n v="30"/>
        <n v="24.98"/>
        <n v="20"/>
        <n v="18.989999999999998"/>
        <n v="85.96"/>
        <n v="234.8"/>
        <n v="79.2"/>
        <n v="80"/>
        <n v="114.64"/>
        <n v="12"/>
        <n v="65.45"/>
        <n v="51.96"/>
        <n v="481"/>
        <n v="25.13"/>
        <n v="1402.18"/>
        <n v="66.5"/>
        <n v="169.9"/>
        <n v="159.63"/>
        <n v="110"/>
        <n v="209.4"/>
        <n v="126.01"/>
        <n v="296.58"/>
        <n v="221.74"/>
        <n v="511.64"/>
        <n v="40"/>
        <n v="420"/>
        <n v="5"/>
        <n v="244.68"/>
        <n v="70.95"/>
        <n v="59"/>
        <n v="26.4"/>
        <n v="253.03"/>
        <n v="102.99"/>
        <n v="3500"/>
        <n v="752.82"/>
        <n v="711.54"/>
        <n v="147"/>
        <n v="1464.32"/>
        <n v="28.98"/>
        <n v="126.89"/>
        <n v="26.51"/>
        <n v="112.06"/>
        <n v="40.950000000000003"/>
        <n v="322.32"/>
        <n v="45.2"/>
        <n v="46.07"/>
        <n v="169.28"/>
        <n v="57.89"/>
        <n v="1613.74"/>
        <n v="53.39"/>
        <n v="32.83"/>
        <n v="85.89"/>
        <n v="2060.86"/>
        <n v="37.9"/>
        <n v="200"/>
        <n v="42"/>
        <n v="35.58"/>
        <n v="110.51"/>
        <n v="166.17"/>
        <n v="21.01"/>
        <n v="59.9"/>
        <n v="99.9"/>
        <n v="3.5"/>
        <n v="148.25"/>
        <n v="53.96"/>
        <n v="38.57"/>
        <n v="300"/>
        <n v="40.24"/>
        <n v="120"/>
        <n v="54"/>
        <n v="19.989999999999998"/>
        <n v="199.99"/>
        <n v="43.9"/>
        <n v="31.45"/>
        <n v="2350.3000000000002"/>
        <n v="89.99"/>
        <n v="37.4"/>
        <n v="55.79"/>
        <n v="77.959999999999994"/>
        <n v="127.58"/>
        <n v="14.3"/>
        <n v="69.3"/>
        <n v="101.5"/>
        <n v="81.94"/>
        <n v="59.89"/>
        <n v="170.58"/>
        <n v="95.7"/>
        <n v="501.74"/>
        <n v="7.5"/>
        <n v="318.49"/>
        <n v="710"/>
        <n v="370"/>
        <n v="100"/>
        <n v="250"/>
        <n v="60"/>
        <n v="277.33999999999997"/>
        <n v="74.94"/>
        <n v="59.3"/>
        <n v="2355.2399999999998"/>
        <n v="31.5"/>
        <n v="144.91999999999999"/>
        <n v="123.2"/>
        <n v="87.8"/>
        <n v="65.930000000000007"/>
        <n v="43.07"/>
        <n v="46"/>
        <n v="16.97"/>
        <n v="78"/>
        <n v="76.930000000000007"/>
        <n v="482.2"/>
        <n v="159.63999999999999"/>
        <n v="59.93"/>
        <n v="925.49"/>
        <n v="273"/>
      </sharedItems>
    </cacheField>
    <cacheField name="Saldo" numFmtId="0" formula="Receita-Transferência" databaseField="0"/>
    <cacheField name="Campo1" numFmtId="0" formula="IF(Tipo= &quot;investimento&quot;,Transferência)" databaseField="0"/>
  </cacheFields>
  <extLst>
    <ext xmlns:x14="http://schemas.microsoft.com/office/spreadsheetml/2009/9/main" uri="{725AE2AE-9491-48be-B2B4-4EB974FC3084}">
      <x14:pivotCacheDefinition pivotCacheId="532829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d v="2025-08-22T00:00:00"/>
    <x v="0"/>
    <x v="0"/>
    <s v="Ifood"/>
    <x v="0"/>
    <x v="0"/>
    <m/>
    <x v="0"/>
  </r>
  <r>
    <d v="2025-08-23T00:00:00"/>
    <x v="0"/>
    <x v="0"/>
    <s v="Ifood"/>
    <x v="0"/>
    <x v="0"/>
    <m/>
    <x v="1"/>
  </r>
  <r>
    <d v="2025-08-24T00:00:00"/>
    <x v="0"/>
    <x v="0"/>
    <s v="Ifood"/>
    <x v="0"/>
    <x v="0"/>
    <m/>
    <x v="2"/>
  </r>
  <r>
    <d v="2025-08-28T00:00:00"/>
    <x v="0"/>
    <x v="0"/>
    <s v="Salario clt"/>
    <x v="1"/>
    <x v="1"/>
    <n v="4320.2299999999996"/>
    <x v="3"/>
  </r>
  <r>
    <d v="2025-08-28T00:00:00"/>
    <x v="0"/>
    <x v="0"/>
    <s v="prev privada"/>
    <x v="2"/>
    <x v="2"/>
    <m/>
    <x v="4"/>
  </r>
  <r>
    <d v="2025-08-28T00:00:00"/>
    <x v="0"/>
    <x v="0"/>
    <s v="Concerto carro"/>
    <x v="0"/>
    <x v="3"/>
    <m/>
    <x v="5"/>
  </r>
  <r>
    <d v="2025-08-28T00:00:00"/>
    <x v="0"/>
    <x v="0"/>
    <s v="curso"/>
    <x v="0"/>
    <x v="4"/>
    <m/>
    <x v="6"/>
  </r>
  <r>
    <d v="2025-08-28T00:00:00"/>
    <x v="0"/>
    <x v="0"/>
    <s v="PIX "/>
    <x v="0"/>
    <x v="5"/>
    <m/>
    <x v="7"/>
  </r>
  <r>
    <d v="2025-08-29T00:00:00"/>
    <x v="0"/>
    <x v="0"/>
    <s v="PIX "/>
    <x v="1"/>
    <x v="6"/>
    <n v="32"/>
    <x v="3"/>
  </r>
  <r>
    <d v="2025-08-30T00:00:00"/>
    <x v="0"/>
    <x v="0"/>
    <s v="uber"/>
    <x v="0"/>
    <x v="3"/>
    <m/>
    <x v="8"/>
  </r>
  <r>
    <d v="2025-08-30T00:00:00"/>
    <x v="0"/>
    <x v="0"/>
    <s v="Caldo de cana"/>
    <x v="0"/>
    <x v="0"/>
    <m/>
    <x v="9"/>
  </r>
  <r>
    <d v="2025-08-30T00:00:00"/>
    <x v="0"/>
    <x v="0"/>
    <s v="pastel"/>
    <x v="0"/>
    <x v="0"/>
    <m/>
    <x v="10"/>
  </r>
  <r>
    <d v="2025-08-30T00:00:00"/>
    <x v="0"/>
    <x v="0"/>
    <s v="uber"/>
    <x v="0"/>
    <x v="3"/>
    <m/>
    <x v="11"/>
  </r>
  <r>
    <d v="2025-08-30T00:00:00"/>
    <x v="0"/>
    <x v="0"/>
    <s v="cerveja"/>
    <x v="0"/>
    <x v="5"/>
    <m/>
    <x v="12"/>
  </r>
  <r>
    <d v="2025-08-31T00:00:00"/>
    <x v="0"/>
    <x v="0"/>
    <s v="uber"/>
    <x v="0"/>
    <x v="3"/>
    <m/>
    <x v="13"/>
  </r>
  <r>
    <d v="2025-08-31T00:00:00"/>
    <x v="0"/>
    <x v="0"/>
    <s v="c do padre"/>
    <x v="0"/>
    <x v="5"/>
    <m/>
    <x v="14"/>
  </r>
  <r>
    <d v="2025-09-01T00:00:00"/>
    <x v="1"/>
    <x v="0"/>
    <s v="PIX "/>
    <x v="1"/>
    <x v="6"/>
    <n v="70"/>
    <x v="3"/>
  </r>
  <r>
    <d v="2025-09-01T00:00:00"/>
    <x v="1"/>
    <x v="0"/>
    <s v="dalton pipes"/>
    <x v="0"/>
    <x v="5"/>
    <m/>
    <x v="15"/>
  </r>
  <r>
    <d v="2025-09-01T00:00:00"/>
    <x v="1"/>
    <x v="0"/>
    <s v="seguro cartão"/>
    <x v="0"/>
    <x v="7"/>
    <m/>
    <x v="16"/>
  </r>
  <r>
    <d v="2025-09-03T00:00:00"/>
    <x v="1"/>
    <x v="0"/>
    <s v="Gran coffee"/>
    <x v="0"/>
    <x v="0"/>
    <m/>
    <x v="17"/>
  </r>
  <r>
    <d v="2025-09-06T00:00:00"/>
    <x v="1"/>
    <x v="0"/>
    <s v="Cinema"/>
    <x v="0"/>
    <x v="5"/>
    <m/>
    <x v="18"/>
  </r>
  <r>
    <d v="2025-09-06T00:00:00"/>
    <x v="1"/>
    <x v="0"/>
    <s v="role"/>
    <x v="0"/>
    <x v="5"/>
    <m/>
    <x v="19"/>
  </r>
  <r>
    <d v="2025-09-09T00:00:00"/>
    <x v="1"/>
    <x v="0"/>
    <s v="Café"/>
    <x v="0"/>
    <x v="0"/>
    <m/>
    <x v="20"/>
  </r>
  <r>
    <d v="2025-09-10T00:00:00"/>
    <x v="1"/>
    <x v="0"/>
    <s v="barbearia"/>
    <x v="0"/>
    <x v="8"/>
    <m/>
    <x v="21"/>
  </r>
  <r>
    <d v="2025-09-13T00:00:00"/>
    <x v="1"/>
    <x v="0"/>
    <s v="BOMA"/>
    <x v="0"/>
    <x v="5"/>
    <m/>
    <x v="15"/>
  </r>
  <r>
    <d v="2025-09-13T00:00:00"/>
    <x v="1"/>
    <x v="0"/>
    <s v="BOMA"/>
    <x v="0"/>
    <x v="5"/>
    <m/>
    <x v="22"/>
  </r>
  <r>
    <d v="2025-09-13T00:00:00"/>
    <x v="1"/>
    <x v="0"/>
    <n v="99"/>
    <x v="0"/>
    <x v="3"/>
    <m/>
    <x v="23"/>
  </r>
  <r>
    <d v="2025-09-13T00:00:00"/>
    <x v="1"/>
    <x v="0"/>
    <s v="BELISCO BAR"/>
    <x v="0"/>
    <x v="5"/>
    <m/>
    <x v="24"/>
  </r>
  <r>
    <d v="2025-09-13T00:00:00"/>
    <x v="1"/>
    <x v="0"/>
    <s v="uber"/>
    <x v="0"/>
    <x v="3"/>
    <m/>
    <x v="25"/>
  </r>
  <r>
    <d v="2025-09-14T00:00:00"/>
    <x v="1"/>
    <x v="0"/>
    <s v="uber"/>
    <x v="0"/>
    <x v="3"/>
    <m/>
    <x v="26"/>
  </r>
  <r>
    <d v="2025-09-14T00:00:00"/>
    <x v="1"/>
    <x v="0"/>
    <s v="OXXO"/>
    <x v="0"/>
    <x v="5"/>
    <m/>
    <x v="27"/>
  </r>
  <r>
    <d v="2025-09-17T00:00:00"/>
    <x v="1"/>
    <x v="0"/>
    <s v="NUTRICAR"/>
    <x v="0"/>
    <x v="0"/>
    <m/>
    <x v="28"/>
  </r>
  <r>
    <d v="2025-09-18T00:00:00"/>
    <x v="1"/>
    <x v="0"/>
    <s v="seguro cartão"/>
    <x v="0"/>
    <x v="7"/>
    <m/>
    <x v="16"/>
  </r>
  <r>
    <d v="2025-09-18T00:00:00"/>
    <x v="1"/>
    <x v="0"/>
    <s v="Gran coffee"/>
    <x v="0"/>
    <x v="0"/>
    <m/>
    <x v="29"/>
  </r>
  <r>
    <d v="2025-09-19T00:00:00"/>
    <x v="1"/>
    <x v="0"/>
    <s v="PLR"/>
    <x v="1"/>
    <x v="9"/>
    <n v="3771.76"/>
    <x v="3"/>
  </r>
  <r>
    <d v="2025-09-20T00:00:00"/>
    <x v="1"/>
    <x v="0"/>
    <n v="99"/>
    <x v="0"/>
    <x v="3"/>
    <m/>
    <x v="30"/>
  </r>
  <r>
    <d v="2025-09-20T00:00:00"/>
    <x v="1"/>
    <x v="0"/>
    <s v="festa morita"/>
    <x v="0"/>
    <x v="5"/>
    <m/>
    <x v="31"/>
  </r>
  <r>
    <d v="2025-09-20T00:00:00"/>
    <x v="1"/>
    <x v="0"/>
    <n v="99"/>
    <x v="0"/>
    <x v="3"/>
    <m/>
    <x v="32"/>
  </r>
  <r>
    <d v="2025-09-26T00:00:00"/>
    <x v="1"/>
    <x v="0"/>
    <s v="Apartamento"/>
    <x v="0"/>
    <x v="10"/>
    <m/>
    <x v="33"/>
  </r>
  <r>
    <d v="2025-09-26T00:00:00"/>
    <x v="1"/>
    <x v="0"/>
    <s v="farmacia"/>
    <x v="0"/>
    <x v="8"/>
    <m/>
    <x v="34"/>
  </r>
  <r>
    <d v="2025-09-27T00:00:00"/>
    <x v="1"/>
    <x v="0"/>
    <s v="cookie"/>
    <x v="0"/>
    <x v="0"/>
    <m/>
    <x v="35"/>
  </r>
  <r>
    <d v="2025-09-27T00:00:00"/>
    <x v="1"/>
    <x v="0"/>
    <s v="sorvete"/>
    <x v="0"/>
    <x v="0"/>
    <m/>
    <x v="36"/>
  </r>
  <r>
    <d v="2025-09-29T00:00:00"/>
    <x v="1"/>
    <x v="0"/>
    <s v="Salario clt"/>
    <x v="1"/>
    <x v="1"/>
    <n v="5005.1000000000004"/>
    <x v="3"/>
  </r>
  <r>
    <d v="2025-09-29T00:00:00"/>
    <x v="1"/>
    <x v="0"/>
    <s v="prev privada"/>
    <x v="2"/>
    <x v="2"/>
    <m/>
    <x v="37"/>
  </r>
  <r>
    <d v="2025-09-29T00:00:00"/>
    <x v="1"/>
    <x v="0"/>
    <s v="investimento"/>
    <x v="2"/>
    <x v="11"/>
    <n v="4.13"/>
    <x v="3"/>
  </r>
  <r>
    <d v="2025-09-29T00:00:00"/>
    <x v="1"/>
    <x v="0"/>
    <s v="pix pedrinho"/>
    <x v="1"/>
    <x v="6"/>
    <n v="12"/>
    <x v="3"/>
  </r>
  <r>
    <d v="2025-09-30T00:00:00"/>
    <x v="1"/>
    <x v="0"/>
    <s v="DENTISTA"/>
    <x v="0"/>
    <x v="8"/>
    <m/>
    <x v="38"/>
  </r>
  <r>
    <d v="2025-10-03T00:00:00"/>
    <x v="2"/>
    <x v="0"/>
    <n v="99"/>
    <x v="0"/>
    <x v="3"/>
    <m/>
    <x v="39"/>
  </r>
  <r>
    <d v="2025-10-04T00:00:00"/>
    <x v="2"/>
    <x v="0"/>
    <n v="99"/>
    <x v="0"/>
    <x v="3"/>
    <m/>
    <x v="40"/>
  </r>
  <r>
    <d v="2025-10-05T00:00:00"/>
    <x v="2"/>
    <x v="0"/>
    <n v="99"/>
    <x v="0"/>
    <x v="3"/>
    <m/>
    <x v="41"/>
  </r>
  <r>
    <d v="2025-10-10T00:00:00"/>
    <x v="2"/>
    <x v="0"/>
    <s v="gastos cartao"/>
    <x v="0"/>
    <x v="5"/>
    <m/>
    <x v="42"/>
  </r>
  <r>
    <d v="2025-10-10T00:00:00"/>
    <x v="2"/>
    <x v="0"/>
    <s v="Apartamento"/>
    <x v="0"/>
    <x v="10"/>
    <m/>
    <x v="43"/>
  </r>
  <r>
    <d v="2025-10-10T00:00:00"/>
    <x v="2"/>
    <x v="0"/>
    <s v="ifood"/>
    <x v="0"/>
    <x v="0"/>
    <m/>
    <x v="44"/>
  </r>
  <r>
    <d v="2025-10-11T00:00:00"/>
    <x v="2"/>
    <x v="0"/>
    <s v="uber"/>
    <x v="0"/>
    <x v="3"/>
    <m/>
    <x v="45"/>
  </r>
  <r>
    <d v="2025-10-11T00:00:00"/>
    <x v="2"/>
    <x v="0"/>
    <s v="banca"/>
    <x v="0"/>
    <x v="5"/>
    <m/>
    <x v="46"/>
  </r>
  <r>
    <d v="2025-10-12T00:00:00"/>
    <x v="2"/>
    <x v="0"/>
    <s v="farmacia"/>
    <x v="0"/>
    <x v="8"/>
    <m/>
    <x v="47"/>
  </r>
  <r>
    <d v="2025-10-12T00:00:00"/>
    <x v="2"/>
    <x v="0"/>
    <s v="Ifood"/>
    <x v="0"/>
    <x v="0"/>
    <m/>
    <x v="48"/>
  </r>
  <r>
    <d v="2025-10-13T00:00:00"/>
    <x v="2"/>
    <x v="0"/>
    <s v="pix"/>
    <x v="0"/>
    <x v="5"/>
    <m/>
    <x v="49"/>
  </r>
  <r>
    <d v="2025-10-15T00:00:00"/>
    <x v="2"/>
    <x v="0"/>
    <s v="pix"/>
    <x v="0"/>
    <x v="6"/>
    <m/>
    <x v="50"/>
  </r>
  <r>
    <d v="2025-10-17T00:00:00"/>
    <x v="2"/>
    <x v="0"/>
    <s v="cabelo"/>
    <x v="0"/>
    <x v="8"/>
    <m/>
    <x v="51"/>
  </r>
  <r>
    <d v="2025-10-17T00:00:00"/>
    <x v="2"/>
    <x v="0"/>
    <s v="uber"/>
    <x v="0"/>
    <x v="3"/>
    <m/>
    <x v="52"/>
  </r>
  <r>
    <d v="2025-10-18T00:00:00"/>
    <x v="2"/>
    <x v="0"/>
    <s v="bar"/>
    <x v="0"/>
    <x v="5"/>
    <m/>
    <x v="53"/>
  </r>
  <r>
    <d v="2025-10-19T00:00:00"/>
    <x v="2"/>
    <x v="0"/>
    <s v="uber"/>
    <x v="0"/>
    <x v="3"/>
    <m/>
    <x v="54"/>
  </r>
  <r>
    <d v="2025-10-20T00:00:00"/>
    <x v="2"/>
    <x v="0"/>
    <s v="pix"/>
    <x v="0"/>
    <x v="6"/>
    <m/>
    <x v="55"/>
  </r>
  <r>
    <d v="2025-10-21T00:00:00"/>
    <x v="2"/>
    <x v="0"/>
    <s v="pix leh role"/>
    <x v="0"/>
    <x v="6"/>
    <m/>
    <x v="56"/>
  </r>
  <r>
    <d v="2025-10-21T00:00:00"/>
    <x v="2"/>
    <x v="0"/>
    <s v="seguro cartão"/>
    <x v="0"/>
    <x v="7"/>
    <m/>
    <x v="16"/>
  </r>
  <r>
    <d v="2025-10-24T00:00:00"/>
    <x v="2"/>
    <x v="0"/>
    <s v="mercado"/>
    <x v="0"/>
    <x v="0"/>
    <m/>
    <x v="57"/>
  </r>
  <r>
    <d v="2025-10-26T00:00:00"/>
    <x v="2"/>
    <x v="0"/>
    <s v="estacionamento"/>
    <x v="0"/>
    <x v="5"/>
    <m/>
    <x v="58"/>
  </r>
  <r>
    <d v="2025-10-27T00:00:00"/>
    <x v="2"/>
    <x v="0"/>
    <s v="investimento"/>
    <x v="2"/>
    <x v="11"/>
    <n v="7.11"/>
    <x v="3"/>
  </r>
  <r>
    <d v="2025-10-29T00:00:00"/>
    <x v="2"/>
    <x v="0"/>
    <s v="pix"/>
    <x v="1"/>
    <x v="6"/>
    <n v="12"/>
    <x v="3"/>
  </r>
  <r>
    <d v="2025-10-30T00:00:00"/>
    <x v="2"/>
    <x v="0"/>
    <s v="Salario clt"/>
    <x v="1"/>
    <x v="1"/>
    <n v="5162"/>
    <x v="3"/>
  </r>
  <r>
    <d v="2025-10-30T00:00:00"/>
    <x v="2"/>
    <x v="0"/>
    <s v="nutricar"/>
    <x v="0"/>
    <x v="0"/>
    <m/>
    <x v="59"/>
  </r>
  <r>
    <d v="2025-10-30T00:00:00"/>
    <x v="2"/>
    <x v="0"/>
    <s v="prev privada"/>
    <x v="2"/>
    <x v="2"/>
    <m/>
    <x v="37"/>
  </r>
  <r>
    <d v="2025-10-31T00:00:00"/>
    <x v="2"/>
    <x v="0"/>
    <s v="pod"/>
    <x v="0"/>
    <x v="5"/>
    <m/>
    <x v="19"/>
  </r>
  <r>
    <d v="2025-10-31T00:00:00"/>
    <x v="2"/>
    <x v="0"/>
    <s v="uber"/>
    <x v="0"/>
    <x v="3"/>
    <m/>
    <x v="60"/>
  </r>
  <r>
    <d v="2025-10-31T00:00:00"/>
    <x v="2"/>
    <x v="0"/>
    <s v="mercado"/>
    <x v="0"/>
    <x v="0"/>
    <m/>
    <x v="61"/>
  </r>
  <r>
    <d v="2025-10-31T00:00:00"/>
    <x v="2"/>
    <x v="0"/>
    <s v="pix zord"/>
    <x v="1"/>
    <x v="6"/>
    <n v="85"/>
    <x v="3"/>
  </r>
  <r>
    <d v="2025-11-02T00:00:00"/>
    <x v="3"/>
    <x v="0"/>
    <s v="borda - bar"/>
    <x v="0"/>
    <x v="5"/>
    <m/>
    <x v="62"/>
  </r>
  <r>
    <d v="2025-11-03T00:00:00"/>
    <x v="3"/>
    <x v="0"/>
    <s v="pix hamburguer guide"/>
    <x v="1"/>
    <x v="6"/>
    <n v="176.1"/>
    <x v="3"/>
  </r>
  <r>
    <d v="2025-11-03T00:00:00"/>
    <x v="3"/>
    <x v="0"/>
    <s v="spyads - mkt"/>
    <x v="0"/>
    <x v="12"/>
    <m/>
    <x v="63"/>
  </r>
  <r>
    <d v="2025-11-05T00:00:00"/>
    <x v="3"/>
    <x v="0"/>
    <s v="flores nati"/>
    <x v="0"/>
    <x v="13"/>
    <m/>
    <x v="64"/>
  </r>
  <r>
    <d v="2025-11-05T00:00:00"/>
    <x v="3"/>
    <x v="0"/>
    <s v="NUTRICAR"/>
    <x v="0"/>
    <x v="0"/>
    <m/>
    <x v="65"/>
  </r>
  <r>
    <d v="2025-11-06T00:00:00"/>
    <x v="3"/>
    <x v="0"/>
    <s v="mercado"/>
    <x v="0"/>
    <x v="0"/>
    <m/>
    <x v="66"/>
  </r>
  <r>
    <d v="2025-11-07T00:00:00"/>
    <x v="3"/>
    <x v="0"/>
    <s v="UBER"/>
    <x v="0"/>
    <x v="3"/>
    <m/>
    <x v="67"/>
  </r>
  <r>
    <d v="2025-11-08T00:00:00"/>
    <x v="3"/>
    <x v="0"/>
    <s v="BAR"/>
    <x v="0"/>
    <x v="5"/>
    <m/>
    <x v="68"/>
  </r>
  <r>
    <d v="2025-11-09T00:00:00"/>
    <x v="3"/>
    <x v="0"/>
    <s v="UBER"/>
    <x v="0"/>
    <x v="3"/>
    <m/>
    <x v="69"/>
  </r>
  <r>
    <d v="2025-11-10T00:00:00"/>
    <x v="3"/>
    <x v="0"/>
    <s v="Apartamento"/>
    <x v="0"/>
    <x v="10"/>
    <m/>
    <x v="70"/>
  </r>
  <r>
    <d v="2025-11-10T00:00:00"/>
    <x v="3"/>
    <x v="0"/>
    <s v="Apartamento"/>
    <x v="0"/>
    <x v="10"/>
    <m/>
    <x v="42"/>
  </r>
  <r>
    <d v="2025-11-11T00:00:00"/>
    <x v="3"/>
    <x v="0"/>
    <s v="presente cabral"/>
    <x v="0"/>
    <x v="5"/>
    <m/>
    <x v="71"/>
  </r>
  <r>
    <d v="2025-11-11T00:00:00"/>
    <x v="3"/>
    <x v="0"/>
    <s v="presente cabral"/>
    <x v="0"/>
    <x v="5"/>
    <m/>
    <x v="72"/>
  </r>
  <r>
    <d v="2025-11-15T00:00:00"/>
    <x v="3"/>
    <x v="0"/>
    <s v="blacktag"/>
    <x v="0"/>
    <x v="5"/>
    <m/>
    <x v="73"/>
  </r>
  <r>
    <d v="2025-11-15T00:00:00"/>
    <x v="3"/>
    <x v="0"/>
    <s v="pod"/>
    <x v="0"/>
    <x v="5"/>
    <m/>
    <x v="74"/>
  </r>
  <r>
    <d v="2025-11-15T00:00:00"/>
    <x v="3"/>
    <x v="0"/>
    <s v="mercado"/>
    <x v="0"/>
    <x v="0"/>
    <m/>
    <x v="75"/>
  </r>
  <r>
    <d v="2025-11-15T00:00:00"/>
    <x v="3"/>
    <x v="0"/>
    <s v="vans"/>
    <x v="0"/>
    <x v="8"/>
    <m/>
    <x v="76"/>
  </r>
  <r>
    <d v="2025-11-15T00:00:00"/>
    <x v="3"/>
    <x v="0"/>
    <s v="seguro cartão"/>
    <x v="0"/>
    <x v="7"/>
    <m/>
    <x v="16"/>
  </r>
  <r>
    <d v="2025-11-15T00:00:00"/>
    <x v="3"/>
    <x v="0"/>
    <s v="aramis"/>
    <x v="0"/>
    <x v="8"/>
    <m/>
    <x v="77"/>
  </r>
  <r>
    <d v="2025-11-17T00:00:00"/>
    <x v="3"/>
    <x v="0"/>
    <s v="pix"/>
    <x v="1"/>
    <x v="6"/>
    <n v="42"/>
    <x v="3"/>
  </r>
  <r>
    <d v="2025-11-19T00:00:00"/>
    <x v="3"/>
    <x v="0"/>
    <s v="mercado"/>
    <x v="0"/>
    <x v="0"/>
    <m/>
    <x v="78"/>
  </r>
  <r>
    <d v="2025-11-19T00:00:00"/>
    <x v="3"/>
    <x v="0"/>
    <s v="mercado"/>
    <x v="0"/>
    <x v="0"/>
    <m/>
    <x v="79"/>
  </r>
  <r>
    <d v="2025-11-22T00:00:00"/>
    <x v="3"/>
    <x v="0"/>
    <s v="praia"/>
    <x v="0"/>
    <x v="5"/>
    <m/>
    <x v="55"/>
  </r>
  <r>
    <d v="2025-11-22T00:00:00"/>
    <x v="3"/>
    <x v="0"/>
    <s v="praia"/>
    <x v="0"/>
    <x v="5"/>
    <m/>
    <x v="80"/>
  </r>
  <r>
    <d v="2025-11-24T00:00:00"/>
    <x v="3"/>
    <x v="0"/>
    <s v="pix"/>
    <x v="1"/>
    <x v="6"/>
    <n v="425.04"/>
    <x v="3"/>
  </r>
  <r>
    <d v="2025-11-25T00:00:00"/>
    <x v="3"/>
    <x v="0"/>
    <s v="barbearia"/>
    <x v="0"/>
    <x v="8"/>
    <m/>
    <x v="22"/>
  </r>
  <r>
    <d v="2025-11-26T00:00:00"/>
    <x v="3"/>
    <x v="0"/>
    <s v="pix nati"/>
    <x v="0"/>
    <x v="6"/>
    <m/>
    <x v="81"/>
  </r>
  <r>
    <d v="2025-11-26T00:00:00"/>
    <x v="3"/>
    <x v="0"/>
    <s v="pix renan"/>
    <x v="0"/>
    <x v="6"/>
    <m/>
    <x v="82"/>
  </r>
  <r>
    <d v="2025-11-27T00:00:00"/>
    <x v="3"/>
    <x v="0"/>
    <s v="Salario clt"/>
    <x v="1"/>
    <x v="1"/>
    <n v="5262.43"/>
    <x v="3"/>
  </r>
  <r>
    <d v="2025-11-27T00:00:00"/>
    <x v="3"/>
    <x v="0"/>
    <s v="13o salario"/>
    <x v="1"/>
    <x v="1"/>
    <n v="1312.51"/>
    <x v="3"/>
  </r>
  <r>
    <d v="2025-11-27T00:00:00"/>
    <x v="3"/>
    <x v="0"/>
    <s v="prev privada"/>
    <x v="2"/>
    <x v="2"/>
    <m/>
    <x v="37"/>
  </r>
  <r>
    <d v="2025-11-28T00:00:00"/>
    <x v="3"/>
    <x v="0"/>
    <s v="investimento"/>
    <x v="1"/>
    <x v="11"/>
    <n v="8.99"/>
    <x v="3"/>
  </r>
  <r>
    <d v="2025-11-28T00:00:00"/>
    <x v="3"/>
    <x v="0"/>
    <s v="Presente nati"/>
    <x v="0"/>
    <x v="13"/>
    <m/>
    <x v="83"/>
  </r>
  <r>
    <d v="2025-11-28T00:00:00"/>
    <x v="3"/>
    <x v="0"/>
    <s v="uber"/>
    <x v="0"/>
    <x v="3"/>
    <m/>
    <x v="84"/>
  </r>
  <r>
    <d v="2025-11-29T00:00:00"/>
    <x v="3"/>
    <x v="0"/>
    <s v="posto"/>
    <x v="0"/>
    <x v="5"/>
    <m/>
    <x v="85"/>
  </r>
  <r>
    <d v="2025-11-29T00:00:00"/>
    <x v="3"/>
    <x v="0"/>
    <s v="farmacia"/>
    <x v="0"/>
    <x v="8"/>
    <m/>
    <x v="86"/>
  </r>
  <r>
    <d v="2025-11-29T00:00:00"/>
    <x v="3"/>
    <x v="0"/>
    <s v="posto"/>
    <x v="0"/>
    <x v="14"/>
    <m/>
    <x v="87"/>
  </r>
  <r>
    <d v="2025-11-29T00:00:00"/>
    <x v="3"/>
    <x v="0"/>
    <s v="uber"/>
    <x v="0"/>
    <x v="3"/>
    <m/>
    <x v="88"/>
  </r>
  <r>
    <d v="2025-11-29T00:00:00"/>
    <x v="3"/>
    <x v="0"/>
    <s v="cerveja"/>
    <x v="0"/>
    <x v="5"/>
    <m/>
    <x v="49"/>
  </r>
  <r>
    <d v="2025-12-01T00:00:00"/>
    <x v="4"/>
    <x v="0"/>
    <s v="uber franco pix"/>
    <x v="1"/>
    <x v="6"/>
    <n v="51"/>
    <x v="3"/>
  </r>
  <r>
    <d v="2025-12-01T00:00:00"/>
    <x v="4"/>
    <x v="0"/>
    <s v="pix"/>
    <x v="1"/>
    <x v="6"/>
    <n v="12"/>
    <x v="3"/>
  </r>
  <r>
    <d v="2025-12-01T00:00:00"/>
    <x v="4"/>
    <x v="0"/>
    <s v="aplicação CDB"/>
    <x v="2"/>
    <x v="11"/>
    <m/>
    <x v="89"/>
  </r>
  <r>
    <d v="2025-12-01T00:00:00"/>
    <x v="4"/>
    <x v="0"/>
    <s v="XPML11"/>
    <x v="2"/>
    <x v="11"/>
    <m/>
    <x v="90"/>
  </r>
  <r>
    <d v="2025-12-01T00:00:00"/>
    <x v="4"/>
    <x v="0"/>
    <s v="PVBI11"/>
    <x v="2"/>
    <x v="11"/>
    <m/>
    <x v="91"/>
  </r>
  <r>
    <d v="2025-12-01T00:00:00"/>
    <x v="4"/>
    <x v="0"/>
    <s v="PEROLA NEGRA - MKT"/>
    <x v="0"/>
    <x v="12"/>
    <m/>
    <x v="92"/>
  </r>
  <r>
    <d v="2025-12-01T00:00:00"/>
    <x v="4"/>
    <x v="0"/>
    <s v="PIX LUCAS"/>
    <x v="0"/>
    <x v="5"/>
    <m/>
    <x v="58"/>
  </r>
  <r>
    <d v="2025-12-03T00:00:00"/>
    <x v="4"/>
    <x v="0"/>
    <s v="spyads - mkt"/>
    <x v="0"/>
    <x v="12"/>
    <m/>
    <x v="63"/>
  </r>
  <r>
    <d v="2025-12-03T00:00:00"/>
    <x v="4"/>
    <x v="0"/>
    <s v="Investimento FIIs"/>
    <x v="2"/>
    <x v="11"/>
    <m/>
    <x v="93"/>
  </r>
  <r>
    <d v="2025-12-04T00:00:00"/>
    <x v="4"/>
    <x v="0"/>
    <s v="NUTRICAR"/>
    <x v="0"/>
    <x v="0"/>
    <m/>
    <x v="94"/>
  </r>
  <r>
    <d v="2025-12-05T00:00:00"/>
    <x v="4"/>
    <x v="0"/>
    <s v="INSIDER - ISA"/>
    <x v="0"/>
    <x v="15"/>
    <m/>
    <x v="95"/>
  </r>
  <r>
    <d v="2025-12-06T00:00:00"/>
    <x v="4"/>
    <x v="0"/>
    <s v="UBER"/>
    <x v="0"/>
    <x v="3"/>
    <m/>
    <x v="96"/>
  </r>
  <r>
    <d v="2025-12-06T00:00:00"/>
    <x v="4"/>
    <x v="0"/>
    <s v="UBER"/>
    <x v="0"/>
    <x v="3"/>
    <m/>
    <x v="97"/>
  </r>
  <r>
    <d v="2025-12-06T00:00:00"/>
    <x v="4"/>
    <x v="0"/>
    <s v="UBER"/>
    <x v="0"/>
    <x v="3"/>
    <m/>
    <x v="98"/>
  </r>
  <r>
    <d v="2025-12-06T00:00:00"/>
    <x v="4"/>
    <x v="0"/>
    <s v="mercado"/>
    <x v="0"/>
    <x v="0"/>
    <m/>
    <x v="99"/>
  </r>
  <r>
    <d v="2025-12-06T00:00:00"/>
    <x v="4"/>
    <x v="0"/>
    <s v="HEAVY HOUSE"/>
    <x v="0"/>
    <x v="5"/>
    <m/>
    <x v="100"/>
  </r>
  <r>
    <d v="2025-12-07T00:00:00"/>
    <x v="4"/>
    <x v="0"/>
    <s v="uber"/>
    <x v="0"/>
    <x v="3"/>
    <m/>
    <x v="101"/>
  </r>
  <r>
    <d v="2025-12-07T00:00:00"/>
    <x v="4"/>
    <x v="0"/>
    <s v="ifood"/>
    <x v="0"/>
    <x v="0"/>
    <m/>
    <x v="102"/>
  </r>
  <r>
    <d v="2025-12-08T00:00:00"/>
    <x v="4"/>
    <x v="0"/>
    <s v="pix"/>
    <x v="1"/>
    <x v="6"/>
    <n v="80.58"/>
    <x v="3"/>
  </r>
  <r>
    <d v="2025-12-09T00:00:00"/>
    <x v="4"/>
    <x v="0"/>
    <s v="ifood"/>
    <x v="0"/>
    <x v="0"/>
    <m/>
    <x v="103"/>
  </r>
  <r>
    <d v="2025-12-10T00:00:00"/>
    <x v="4"/>
    <x v="0"/>
    <s v="Apartamento"/>
    <x v="0"/>
    <x v="10"/>
    <m/>
    <x v="104"/>
  </r>
  <r>
    <d v="2025-12-12T00:00:00"/>
    <x v="4"/>
    <x v="0"/>
    <s v="mercado"/>
    <x v="0"/>
    <x v="0"/>
    <m/>
    <x v="105"/>
  </r>
  <r>
    <d v="2025-12-12T00:00:00"/>
    <x v="4"/>
    <x v="0"/>
    <s v="bar do velho"/>
    <x v="0"/>
    <x v="5"/>
    <m/>
    <x v="106"/>
  </r>
  <r>
    <d v="2025-12-14T00:00:00"/>
    <x v="4"/>
    <x v="0"/>
    <s v="farmacia"/>
    <x v="0"/>
    <x v="8"/>
    <m/>
    <x v="107"/>
  </r>
  <r>
    <d v="2025-12-15T00:00:00"/>
    <x v="4"/>
    <x v="0"/>
    <s v="blacktag"/>
    <x v="0"/>
    <x v="5"/>
    <m/>
    <x v="73"/>
  </r>
  <r>
    <d v="2025-12-15T00:00:00"/>
    <x v="4"/>
    <x v="0"/>
    <s v="vans"/>
    <x v="0"/>
    <x v="8"/>
    <m/>
    <x v="76"/>
  </r>
  <r>
    <d v="2025-12-15T00:00:00"/>
    <x v="4"/>
    <x v="0"/>
    <s v="aramis"/>
    <x v="0"/>
    <x v="8"/>
    <m/>
    <x v="77"/>
  </r>
  <r>
    <d v="2025-12-15T00:00:00"/>
    <x v="4"/>
    <x v="0"/>
    <s v="WRLD11"/>
    <x v="2"/>
    <x v="11"/>
    <m/>
    <x v="108"/>
  </r>
  <r>
    <d v="2025-12-15T00:00:00"/>
    <x v="4"/>
    <x v="0"/>
    <s v="dividendos investimento"/>
    <x v="2"/>
    <x v="11"/>
    <n v="10.029999999999999"/>
    <x v="3"/>
  </r>
  <r>
    <d v="2025-12-17T00:00:00"/>
    <x v="4"/>
    <x v="0"/>
    <s v="nutricar"/>
    <x v="0"/>
    <x v="0"/>
    <m/>
    <x v="29"/>
  </r>
  <r>
    <d v="2025-12-18T00:00:00"/>
    <x v="4"/>
    <x v="0"/>
    <s v="mc donalds"/>
    <x v="0"/>
    <x v="0"/>
    <m/>
    <x v="109"/>
  </r>
  <r>
    <d v="2025-12-18T00:00:00"/>
    <x v="4"/>
    <x v="0"/>
    <s v="seguro cartão"/>
    <x v="0"/>
    <x v="7"/>
    <m/>
    <x v="16"/>
  </r>
  <r>
    <d v="2025-12-18T00:00:00"/>
    <x v="4"/>
    <x v="0"/>
    <s v="pix presente"/>
    <x v="0"/>
    <x v="15"/>
    <m/>
    <x v="110"/>
  </r>
  <r>
    <d v="2025-12-19T00:00:00"/>
    <x v="4"/>
    <x v="0"/>
    <s v="bolão"/>
    <x v="0"/>
    <x v="5"/>
    <m/>
    <x v="111"/>
  </r>
  <r>
    <d v="2025-12-19T00:00:00"/>
    <x v="4"/>
    <x v="0"/>
    <s v="13o salario"/>
    <x v="1"/>
    <x v="1"/>
    <n v="1099.02"/>
    <x v="3"/>
  </r>
  <r>
    <d v="2025-12-19T00:00:00"/>
    <x v="4"/>
    <x v="0"/>
    <s v="prev privada"/>
    <x v="2"/>
    <x v="11"/>
    <m/>
    <x v="37"/>
  </r>
  <r>
    <d v="2025-12-20T00:00:00"/>
    <x v="4"/>
    <x v="0"/>
    <s v="barbas"/>
    <x v="0"/>
    <x v="5"/>
    <m/>
    <x v="110"/>
  </r>
  <r>
    <d v="2025-12-21T00:00:00"/>
    <x v="4"/>
    <x v="0"/>
    <s v="bar osasco podre"/>
    <x v="0"/>
    <x v="5"/>
    <m/>
    <x v="55"/>
  </r>
  <r>
    <d v="2025-12-21T00:00:00"/>
    <x v="4"/>
    <x v="0"/>
    <s v="uber"/>
    <x v="0"/>
    <x v="3"/>
    <m/>
    <x v="112"/>
  </r>
  <r>
    <d v="2025-12-21T00:00:00"/>
    <x v="4"/>
    <x v="0"/>
    <s v="ifood"/>
    <x v="0"/>
    <x v="0"/>
    <m/>
    <x v="113"/>
  </r>
  <r>
    <d v="2025-12-22T00:00:00"/>
    <x v="4"/>
    <x v="0"/>
    <s v="nutricar"/>
    <x v="0"/>
    <x v="0"/>
    <m/>
    <x v="58"/>
  </r>
  <r>
    <d v="2025-12-23T00:00:00"/>
    <x v="4"/>
    <x v="0"/>
    <s v="barbearia"/>
    <x v="0"/>
    <x v="8"/>
    <m/>
    <x v="21"/>
  </r>
  <r>
    <d v="2025-12-23T00:00:00"/>
    <x v="4"/>
    <x v="0"/>
    <s v="investimento"/>
    <x v="2"/>
    <x v="11"/>
    <n v="6.91"/>
    <x v="3"/>
  </r>
  <r>
    <d v="2025-12-25T00:00:00"/>
    <x v="4"/>
    <x v="0"/>
    <s v="ifood - cabana"/>
    <x v="0"/>
    <x v="0"/>
    <m/>
    <x v="114"/>
  </r>
  <r>
    <d v="2025-12-26T00:00:00"/>
    <x v="4"/>
    <x v="0"/>
    <s v="jogo"/>
    <x v="0"/>
    <x v="5"/>
    <m/>
    <x v="16"/>
  </r>
  <r>
    <d v="2025-12-27T00:00:00"/>
    <x v="4"/>
    <x v="0"/>
    <s v="estacionamento"/>
    <x v="0"/>
    <x v="5"/>
    <m/>
    <x v="56"/>
  </r>
  <r>
    <d v="2025-12-28T00:00:00"/>
    <x v="4"/>
    <x v="0"/>
    <s v="patties"/>
    <x v="0"/>
    <x v="0"/>
    <m/>
    <x v="115"/>
  </r>
  <r>
    <d v="2025-12-28T00:00:00"/>
    <x v="4"/>
    <x v="0"/>
    <s v="renner"/>
    <x v="0"/>
    <x v="8"/>
    <m/>
    <x v="116"/>
  </r>
  <r>
    <d v="2025-12-30T00:00:00"/>
    <x v="4"/>
    <x v="0"/>
    <s v="Salario clt"/>
    <x v="1"/>
    <x v="1"/>
    <n v="5087.8100000000004"/>
    <x v="3"/>
  </r>
  <r>
    <d v="2025-12-30T00:00:00"/>
    <x v="4"/>
    <x v="0"/>
    <s v="prev privada"/>
    <x v="2"/>
    <x v="11"/>
    <m/>
    <x v="37"/>
  </r>
  <r>
    <d v="2026-01-02T00:00:00"/>
    <x v="5"/>
    <x v="1"/>
    <s v="chatgpt"/>
    <x v="0"/>
    <x v="16"/>
    <m/>
    <x v="117"/>
  </r>
  <r>
    <d v="2026-01-02T00:00:00"/>
    <x v="5"/>
    <x v="1"/>
    <s v="IOF"/>
    <x v="0"/>
    <x v="7"/>
    <m/>
    <x v="118"/>
  </r>
  <r>
    <d v="2026-01-03T00:00:00"/>
    <x v="5"/>
    <x v="1"/>
    <s v="spyads - mkt"/>
    <x v="0"/>
    <x v="16"/>
    <m/>
    <x v="63"/>
  </r>
  <r>
    <d v="2026-01-03T00:00:00"/>
    <x v="5"/>
    <x v="1"/>
    <s v="mercado"/>
    <x v="0"/>
    <x v="0"/>
    <m/>
    <x v="119"/>
  </r>
  <r>
    <d v="2026-01-03T00:00:00"/>
    <x v="5"/>
    <x v="1"/>
    <s v="uber"/>
    <x v="0"/>
    <x v="3"/>
    <m/>
    <x v="120"/>
  </r>
  <r>
    <d v="2026-01-04T00:00:00"/>
    <x v="5"/>
    <x v="1"/>
    <s v="uber"/>
    <x v="0"/>
    <x v="3"/>
    <m/>
    <x v="121"/>
  </r>
  <r>
    <d v="2026-01-04T00:00:00"/>
    <x v="5"/>
    <x v="1"/>
    <s v="mc donalds"/>
    <x v="0"/>
    <x v="0"/>
    <m/>
    <x v="32"/>
  </r>
  <r>
    <d v="2026-01-05T00:00:00"/>
    <x v="5"/>
    <x v="1"/>
    <s v="pix"/>
    <x v="1"/>
    <x v="17"/>
    <n v="1500"/>
    <x v="3"/>
  </r>
  <r>
    <d v="2026-01-05T00:00:00"/>
    <x v="5"/>
    <x v="1"/>
    <s v="PRESENTE MAMAE"/>
    <x v="0"/>
    <x v="6"/>
    <m/>
    <x v="122"/>
  </r>
  <r>
    <d v="2026-01-09T00:00:00"/>
    <x v="5"/>
    <x v="1"/>
    <n v="99"/>
    <x v="0"/>
    <x v="3"/>
    <m/>
    <x v="123"/>
  </r>
  <r>
    <d v="2026-01-09T00:00:00"/>
    <x v="5"/>
    <x v="1"/>
    <s v="pod"/>
    <x v="0"/>
    <x v="5"/>
    <m/>
    <x v="124"/>
  </r>
  <r>
    <d v="2026-01-10T00:00:00"/>
    <x v="5"/>
    <x v="1"/>
    <s v="martinelli"/>
    <x v="0"/>
    <x v="5"/>
    <m/>
    <x v="125"/>
  </r>
  <r>
    <d v="2026-01-10T00:00:00"/>
    <x v="5"/>
    <x v="1"/>
    <s v="suco - tambore"/>
    <x v="0"/>
    <x v="0"/>
    <m/>
    <x v="126"/>
  </r>
  <r>
    <d v="2026-01-10T00:00:00"/>
    <x v="5"/>
    <x v="1"/>
    <s v="centauro"/>
    <x v="0"/>
    <x v="5"/>
    <m/>
    <x v="127"/>
  </r>
  <r>
    <d v="2026-01-10T00:00:00"/>
    <x v="5"/>
    <x v="1"/>
    <s v="mc donalds"/>
    <x v="0"/>
    <x v="0"/>
    <m/>
    <x v="128"/>
  </r>
  <r>
    <d v="2026-01-10T00:00:00"/>
    <x v="5"/>
    <x v="1"/>
    <s v="uber"/>
    <x v="0"/>
    <x v="3"/>
    <m/>
    <x v="129"/>
  </r>
  <r>
    <d v="2026-01-12T00:00:00"/>
    <x v="5"/>
    <x v="1"/>
    <s v="REEMBOLSO"/>
    <x v="1"/>
    <x v="18"/>
    <n v="135.28"/>
    <x v="3"/>
  </r>
  <r>
    <d v="2026-01-12T00:00:00"/>
    <x v="5"/>
    <x v="1"/>
    <s v="PIX ZORD"/>
    <x v="1"/>
    <x v="6"/>
    <n v="100"/>
    <x v="3"/>
  </r>
  <r>
    <d v="2026-01-12T00:00:00"/>
    <x v="5"/>
    <x v="1"/>
    <s v="Apartamento"/>
    <x v="0"/>
    <x v="10"/>
    <m/>
    <x v="130"/>
  </r>
  <r>
    <d v="2026-01-12T00:00:00"/>
    <x v="5"/>
    <x v="1"/>
    <s v="gastos cartao"/>
    <x v="0"/>
    <x v="7"/>
    <m/>
    <x v="131"/>
  </r>
  <r>
    <d v="2026-01-13T00:00:00"/>
    <x v="5"/>
    <x v="1"/>
    <s v="casa pilão"/>
    <x v="0"/>
    <x v="0"/>
    <m/>
    <x v="132"/>
  </r>
  <r>
    <d v="2026-01-13T00:00:00"/>
    <x v="5"/>
    <x v="1"/>
    <s v="OF"/>
    <x v="0"/>
    <x v="5"/>
    <m/>
    <x v="133"/>
  </r>
  <r>
    <d v="2026-01-15T00:00:00"/>
    <x v="5"/>
    <x v="1"/>
    <s v="blacktag"/>
    <x v="0"/>
    <x v="5"/>
    <m/>
    <x v="73"/>
  </r>
  <r>
    <d v="2026-01-15T00:00:00"/>
    <x v="5"/>
    <x v="1"/>
    <s v="aramis"/>
    <x v="0"/>
    <x v="8"/>
    <m/>
    <x v="77"/>
  </r>
  <r>
    <d v="2026-01-15T00:00:00"/>
    <x v="5"/>
    <x v="1"/>
    <s v="vans"/>
    <x v="0"/>
    <x v="8"/>
    <m/>
    <x v="76"/>
  </r>
  <r>
    <d v="2026-01-16T00:00:00"/>
    <x v="5"/>
    <x v="1"/>
    <s v="uber"/>
    <x v="0"/>
    <x v="3"/>
    <m/>
    <x v="134"/>
  </r>
  <r>
    <d v="2026-01-16T00:00:00"/>
    <x v="5"/>
    <x v="1"/>
    <s v="dividendos investimento"/>
    <x v="2"/>
    <x v="11"/>
    <n v="11.09"/>
    <x v="3"/>
  </r>
  <r>
    <d v="2026-01-16T00:00:00"/>
    <x v="5"/>
    <x v="1"/>
    <s v="PIX"/>
    <x v="0"/>
    <x v="6"/>
    <m/>
    <x v="55"/>
  </r>
  <r>
    <d v="2026-01-17T00:00:00"/>
    <x v="5"/>
    <x v="1"/>
    <s v="cu do padre"/>
    <x v="0"/>
    <x v="5"/>
    <m/>
    <x v="135"/>
  </r>
  <r>
    <d v="2026-01-17T00:00:00"/>
    <x v="5"/>
    <x v="1"/>
    <s v="cu do padre"/>
    <x v="0"/>
    <x v="5"/>
    <m/>
    <x v="136"/>
  </r>
  <r>
    <d v="2026-01-17T00:00:00"/>
    <x v="5"/>
    <x v="1"/>
    <s v="fatz"/>
    <x v="0"/>
    <x v="0"/>
    <m/>
    <x v="137"/>
  </r>
  <r>
    <d v="2026-01-18T00:00:00"/>
    <x v="5"/>
    <x v="1"/>
    <s v="mc donalds"/>
    <x v="0"/>
    <x v="0"/>
    <m/>
    <x v="138"/>
  </r>
  <r>
    <d v="2026-01-18T00:00:00"/>
    <x v="5"/>
    <x v="1"/>
    <s v="uber"/>
    <x v="0"/>
    <x v="3"/>
    <m/>
    <x v="139"/>
  </r>
  <r>
    <d v="2026-01-18T00:00:00"/>
    <x v="5"/>
    <x v="1"/>
    <s v="bar leh"/>
    <x v="0"/>
    <x v="5"/>
    <m/>
    <x v="140"/>
  </r>
  <r>
    <d v="2026-01-19T00:00:00"/>
    <x v="5"/>
    <x v="1"/>
    <s v="curso"/>
    <x v="0"/>
    <x v="19"/>
    <m/>
    <x v="124"/>
  </r>
  <r>
    <d v="2026-01-19T00:00:00"/>
    <x v="5"/>
    <x v="1"/>
    <s v="Rent.inv.facil"/>
    <x v="2"/>
    <x v="11"/>
    <n v="0.02"/>
    <x v="3"/>
  </r>
  <r>
    <d v="2026-01-20T00:00:00"/>
    <x v="5"/>
    <x v="1"/>
    <s v="seguro cartão"/>
    <x v="0"/>
    <x v="7"/>
    <m/>
    <x v="16"/>
  </r>
  <r>
    <d v="2026-01-22T00:00:00"/>
    <x v="5"/>
    <x v="1"/>
    <s v="IFD*iFood"/>
    <x v="0"/>
    <x v="0"/>
    <m/>
    <x v="141"/>
  </r>
  <r>
    <d v="2026-01-23T00:00:00"/>
    <x v="5"/>
    <x v="1"/>
    <s v="Pgto Rend - b3"/>
    <x v="2"/>
    <x v="11"/>
    <n v="6.44"/>
    <x v="3"/>
  </r>
  <r>
    <d v="2026-01-24T00:00:00"/>
    <x v="5"/>
    <x v="1"/>
    <s v="OUTBACK BOURBOUN SP"/>
    <x v="0"/>
    <x v="0"/>
    <m/>
    <x v="142"/>
  </r>
  <r>
    <d v="2026-01-24T00:00:00"/>
    <x v="5"/>
    <x v="1"/>
    <s v="SONDA AGUA BRANCA"/>
    <x v="0"/>
    <x v="5"/>
    <m/>
    <x v="143"/>
  </r>
  <r>
    <d v="2026-01-26T00:00:00"/>
    <x v="5"/>
    <x v="1"/>
    <s v="Transfe Pix"/>
    <x v="1"/>
    <x v="6"/>
    <n v="71.67"/>
    <x v="3"/>
  </r>
  <r>
    <d v="2026-01-26T00:00:00"/>
    <x v="5"/>
    <x v="1"/>
    <s v="Transfe Pix"/>
    <x v="1"/>
    <x v="6"/>
    <n v="72"/>
    <x v="3"/>
  </r>
  <r>
    <d v="2026-01-26T00:00:00"/>
    <x v="5"/>
    <x v="1"/>
    <s v="Transfe Pix"/>
    <x v="1"/>
    <x v="6"/>
    <n v="71.67"/>
    <x v="3"/>
  </r>
  <r>
    <d v="2026-01-26T00:00:00"/>
    <x v="5"/>
    <x v="1"/>
    <s v="Transfe Pix"/>
    <x v="1"/>
    <x v="6"/>
    <n v="71.67"/>
    <x v="3"/>
  </r>
  <r>
    <d v="2026-01-29T00:00:00"/>
    <x v="5"/>
    <x v="1"/>
    <s v="Salario clt"/>
    <x v="1"/>
    <x v="1"/>
    <n v="5208.1499999999996"/>
    <x v="3"/>
  </r>
  <r>
    <d v="2026-01-29T00:00:00"/>
    <x v="5"/>
    <x v="1"/>
    <s v="prev privada"/>
    <x v="2"/>
    <x v="2"/>
    <m/>
    <x v="37"/>
  </r>
  <r>
    <d v="2026-01-29T00:00:00"/>
    <x v="5"/>
    <x v="1"/>
    <s v="GRAN  COFFEE"/>
    <x v="0"/>
    <x v="0"/>
    <m/>
    <x v="144"/>
  </r>
  <r>
    <d v="2026-01-30T00:00:00"/>
    <x v="5"/>
    <x v="1"/>
    <s v="pix"/>
    <x v="0"/>
    <x v="6"/>
    <m/>
    <x v="15"/>
  </r>
  <r>
    <d v="2026-01-30T00:00:00"/>
    <x v="5"/>
    <x v="1"/>
    <s v="COZINHA 212"/>
    <x v="0"/>
    <x v="0"/>
    <m/>
    <x v="145"/>
  </r>
  <r>
    <d v="2026-02-02T00:00:00"/>
    <x v="6"/>
    <x v="1"/>
    <s v="OPENAI *CHATGPT SUBSCR"/>
    <x v="0"/>
    <x v="16"/>
    <m/>
    <x v="117"/>
  </r>
  <r>
    <d v="2026-02-02T00:00:00"/>
    <x v="6"/>
    <x v="1"/>
    <s v="Rent.inv.facil"/>
    <x v="2"/>
    <x v="11"/>
    <n v="0.55000000000000004"/>
    <x v="3"/>
  </r>
  <r>
    <d v="2026-02-03T00:00:00"/>
    <x v="6"/>
    <x v="1"/>
    <s v="KIWIFY *HelpspyAds"/>
    <x v="0"/>
    <x v="16"/>
    <m/>
    <x v="63"/>
  </r>
  <r>
    <d v="2026-02-03T00:00:00"/>
    <x v="6"/>
    <x v="1"/>
    <s v="IOF S/ TRANS INTER REAIS"/>
    <x v="0"/>
    <x v="5"/>
    <m/>
    <x v="118"/>
  </r>
  <r>
    <d v="2026-02-03T00:00:00"/>
    <x v="6"/>
    <x v="1"/>
    <s v="Rent.inv.facil"/>
    <x v="2"/>
    <x v="11"/>
    <n v="0.01"/>
    <x v="3"/>
  </r>
  <r>
    <d v="2026-02-03T00:00:00"/>
    <x v="6"/>
    <x v="1"/>
    <s v="Cota"/>
    <x v="0"/>
    <x v="6"/>
    <m/>
    <x v="146"/>
  </r>
  <r>
    <d v="2026-02-04T00:00:00"/>
    <x v="6"/>
    <x v="1"/>
    <s v="Transfe Pix NICO"/>
    <x v="1"/>
    <x v="6"/>
    <n v="370"/>
    <x v="3"/>
  </r>
  <r>
    <d v="2026-02-04T00:00:00"/>
    <x v="6"/>
    <x v="1"/>
    <s v="Transfe Pix Quental"/>
    <x v="1"/>
    <x v="6"/>
    <m/>
    <x v="147"/>
  </r>
  <r>
    <d v="2026-02-05T00:00:00"/>
    <x v="6"/>
    <x v="1"/>
    <s v="THE CHAMPS - A BARBEAR"/>
    <x v="0"/>
    <x v="8"/>
    <m/>
    <x v="126"/>
  </r>
  <r>
    <d v="2026-02-05T00:00:00"/>
    <x v="6"/>
    <x v="1"/>
    <s v="GRAN  COFFEE"/>
    <x v="0"/>
    <x v="0"/>
    <m/>
    <x v="148"/>
  </r>
  <r>
    <d v="2026-02-06T00:00:00"/>
    <x v="6"/>
    <x v="1"/>
    <s v="Pgto Rend - b3"/>
    <x v="2"/>
    <x v="11"/>
    <n v="4.05"/>
    <x v="3"/>
  </r>
  <r>
    <d v="2026-02-06T00:00:00"/>
    <x v="6"/>
    <x v="1"/>
    <s v="Rent.inv.facil"/>
    <x v="2"/>
    <x v="11"/>
    <n v="0.01"/>
    <x v="3"/>
  </r>
  <r>
    <d v="2026-02-06T00:00:00"/>
    <x v="6"/>
    <x v="1"/>
    <s v="D-EDGE FESTIVAL"/>
    <x v="0"/>
    <x v="5"/>
    <m/>
    <x v="149"/>
  </r>
  <r>
    <d v="2026-02-06T00:00:00"/>
    <x v="6"/>
    <x v="1"/>
    <s v="pix role"/>
    <x v="0"/>
    <x v="5"/>
    <m/>
    <x v="150"/>
  </r>
  <r>
    <d v="2026-02-07T00:00:00"/>
    <x v="6"/>
    <x v="1"/>
    <s v="benihana"/>
    <x v="0"/>
    <x v="0"/>
    <m/>
    <x v="151"/>
  </r>
  <r>
    <d v="2026-02-07T00:00:00"/>
    <x v="6"/>
    <x v="1"/>
    <s v="uber"/>
    <x v="0"/>
    <x v="3"/>
    <m/>
    <x v="152"/>
  </r>
  <r>
    <d v="2026-02-09T00:00:00"/>
    <x v="6"/>
    <x v="1"/>
    <s v="VA"/>
    <x v="1"/>
    <x v="20"/>
    <n v="924"/>
    <x v="3"/>
  </r>
  <r>
    <d v="2026-02-09T00:00:00"/>
    <x v="6"/>
    <x v="1"/>
    <s v="TROFEU CERVEGAMES"/>
    <x v="0"/>
    <x v="5"/>
    <m/>
    <x v="153"/>
  </r>
  <r>
    <d v="2026-02-10T00:00:00"/>
    <x v="6"/>
    <x v="1"/>
    <s v="Rent.inv.facil"/>
    <x v="2"/>
    <x v="11"/>
    <n v="0.17"/>
    <x v="3"/>
  </r>
  <r>
    <d v="2026-02-10T00:00:00"/>
    <x v="6"/>
    <x v="1"/>
    <s v="Apartamento"/>
    <x v="2"/>
    <x v="10"/>
    <m/>
    <x v="154"/>
  </r>
  <r>
    <d v="2026-02-10T00:00:00"/>
    <x v="6"/>
    <x v="1"/>
    <s v="Gasto c Credito"/>
    <x v="0"/>
    <x v="7"/>
    <m/>
    <x v="131"/>
  </r>
  <r>
    <d v="2026-02-11T00:00:00"/>
    <x v="6"/>
    <x v="1"/>
    <s v="Rent.inv.facil"/>
    <x v="2"/>
    <x v="11"/>
    <n v="0.01"/>
    <x v="3"/>
  </r>
  <r>
    <d v="2026-02-11T00:00:00"/>
    <x v="6"/>
    <x v="1"/>
    <s v="Aplicacao Cdb"/>
    <x v="2"/>
    <x v="11"/>
    <m/>
    <x v="6"/>
  </r>
  <r>
    <d v="2026-02-12T00:00:00"/>
    <x v="6"/>
    <x v="1"/>
    <s v="adesivo cervegames"/>
    <x v="0"/>
    <x v="5"/>
    <m/>
    <x v="155"/>
  </r>
  <r>
    <d v="2026-02-12T00:00:00"/>
    <x v="6"/>
    <x v="1"/>
    <s v="CAPINHA CELULAR"/>
    <x v="0"/>
    <x v="8"/>
    <m/>
    <x v="126"/>
  </r>
  <r>
    <d v="2026-02-13T00:00:00"/>
    <x v="6"/>
    <x v="1"/>
    <s v="seguro cartão"/>
    <x v="0"/>
    <x v="7"/>
    <m/>
    <x v="16"/>
  </r>
  <r>
    <d v="2026-02-14T00:00:00"/>
    <x v="6"/>
    <x v="1"/>
    <s v="ZIG*AMATA"/>
    <x v="0"/>
    <x v="5"/>
    <m/>
    <x v="156"/>
  </r>
  <r>
    <d v="2026-02-14T00:00:00"/>
    <x v="6"/>
    <x v="1"/>
    <s v="CASA BATIDA"/>
    <x v="0"/>
    <x v="5"/>
    <m/>
    <x v="157"/>
  </r>
  <r>
    <d v="2026-02-14T00:00:00"/>
    <x v="6"/>
    <x v="1"/>
    <s v="mc donalds"/>
    <x v="0"/>
    <x v="0"/>
    <m/>
    <x v="158"/>
  </r>
  <r>
    <d v="2026-02-14T00:00:00"/>
    <x v="6"/>
    <x v="1"/>
    <s v="uber"/>
    <x v="0"/>
    <x v="3"/>
    <m/>
    <x v="159"/>
  </r>
  <r>
    <d v="2026-02-14T00:00:00"/>
    <x v="6"/>
    <x v="1"/>
    <s v="uber"/>
    <x v="0"/>
    <x v="3"/>
    <m/>
    <x v="160"/>
  </r>
  <r>
    <d v="2026-02-15T00:00:00"/>
    <x v="6"/>
    <x v="1"/>
    <s v="carnaval - bebida"/>
    <x v="0"/>
    <x v="5"/>
    <m/>
    <x v="161"/>
  </r>
  <r>
    <d v="2026-02-15T00:00:00"/>
    <x v="6"/>
    <x v="1"/>
    <s v="carnaval - bebida"/>
    <x v="0"/>
    <x v="5"/>
    <m/>
    <x v="65"/>
  </r>
  <r>
    <d v="2026-02-15T00:00:00"/>
    <x v="6"/>
    <x v="1"/>
    <s v="carnaval - bebida"/>
    <x v="0"/>
    <x v="5"/>
    <m/>
    <x v="55"/>
  </r>
  <r>
    <d v="2026-02-15T00:00:00"/>
    <x v="6"/>
    <x v="1"/>
    <s v="carnaval - bebida"/>
    <x v="0"/>
    <x v="5"/>
    <m/>
    <x v="162"/>
  </r>
  <r>
    <d v="2026-02-15T00:00:00"/>
    <x v="6"/>
    <x v="1"/>
    <s v="carnaval - bebida"/>
    <x v="0"/>
    <x v="5"/>
    <m/>
    <x v="163"/>
  </r>
  <r>
    <d v="2026-02-15T00:00:00"/>
    <x v="6"/>
    <x v="1"/>
    <s v="UBER"/>
    <x v="0"/>
    <x v="3"/>
    <m/>
    <x v="164"/>
  </r>
  <r>
    <d v="2026-02-16T00:00:00"/>
    <x v="6"/>
    <x v="1"/>
    <s v="mercado"/>
    <x v="0"/>
    <x v="0"/>
    <m/>
    <x v="165"/>
  </r>
  <r>
    <d v="2026-02-16T00:00:00"/>
    <x v="6"/>
    <x v="1"/>
    <s v="formatura leh"/>
    <x v="0"/>
    <x v="5"/>
    <m/>
    <x v="166"/>
  </r>
  <r>
    <d v="2026-02-17T00:00:00"/>
    <x v="6"/>
    <x v="1"/>
    <s v="IFD*MANIHI SUSHI - TAMBOR"/>
    <x v="0"/>
    <x v="0"/>
    <m/>
    <x v="167"/>
  </r>
  <r>
    <d v="2026-02-18T00:00:00"/>
    <x v="6"/>
    <x v="1"/>
    <s v="pix role"/>
    <x v="1"/>
    <x v="5"/>
    <n v="95"/>
    <x v="3"/>
  </r>
  <r>
    <d v="2026-02-18T00:00:00"/>
    <x v="6"/>
    <x v="1"/>
    <s v="pix role"/>
    <x v="1"/>
    <x v="5"/>
    <n v="95"/>
    <x v="3"/>
  </r>
  <r>
    <d v="2026-02-18T00:00:00"/>
    <x v="6"/>
    <x v="1"/>
    <s v="pix role"/>
    <x v="1"/>
    <x v="5"/>
    <n v="644.1"/>
    <x v="3"/>
  </r>
  <r>
    <d v="2026-02-18T00:00:00"/>
    <x v="6"/>
    <x v="1"/>
    <s v="Cervegames"/>
    <x v="1"/>
    <x v="5"/>
    <n v="975"/>
    <x v="3"/>
  </r>
  <r>
    <d v="2026-02-18T00:00:00"/>
    <x v="6"/>
    <x v="1"/>
    <s v="chopeira"/>
    <x v="0"/>
    <x v="5"/>
    <m/>
    <x v="168"/>
  </r>
  <r>
    <d v="2026-02-18T00:00:00"/>
    <x v="6"/>
    <x v="1"/>
    <s v="sanduiche de metro"/>
    <x v="0"/>
    <x v="5"/>
    <m/>
    <x v="169"/>
  </r>
  <r>
    <s v="18/02/26"/>
    <x v="6"/>
    <x v="1"/>
    <s v="pix role"/>
    <x v="0"/>
    <x v="5"/>
    <m/>
    <x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65583-DA35-48C8-B792-69B99520087A}" name="Receitas x Categorias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7">
  <location ref="M3:V14" firstHeaderRow="1" firstDataRow="2" firstDataCol="1" rowPageCount="1" colPageCount="1"/>
  <pivotFields count="10">
    <pivotField numFmtId="14" showAll="0"/>
    <pivotField axis="axisRow" showAll="0">
      <items count="13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Page" showAll="0">
      <items count="5">
        <item x="0"/>
        <item x="1"/>
        <item x="2"/>
        <item m="1" x="3"/>
        <item t="default"/>
      </items>
    </pivotField>
    <pivotField axis="axisCol" showAll="0">
      <items count="31">
        <item m="1" x="26"/>
        <item m="1" x="27"/>
        <item m="1" x="24"/>
        <item m="1" x="28"/>
        <item m="1" x="29"/>
        <item m="1" x="25"/>
        <item m="1" x="22"/>
        <item x="2"/>
        <item m="1" x="23"/>
        <item x="1"/>
        <item m="1" x="21"/>
        <item x="4"/>
        <item x="5"/>
        <item x="6"/>
        <item x="7"/>
        <item x="0"/>
        <item x="3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10">
    <i>
      <x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t="grand">
      <x/>
    </i>
  </rowItems>
  <colFields count="1">
    <field x="5"/>
  </colFields>
  <colItems count="9">
    <i>
      <x v="9"/>
    </i>
    <i>
      <x v="12"/>
    </i>
    <i>
      <x v="13"/>
    </i>
    <i>
      <x v="18"/>
    </i>
    <i>
      <x v="20"/>
    </i>
    <i>
      <x v="26"/>
    </i>
    <i>
      <x v="27"/>
    </i>
    <i>
      <x v="29"/>
    </i>
    <i t="grand">
      <x/>
    </i>
  </colItems>
  <pageFields count="1">
    <pageField fld="4" item="1" hier="-1"/>
  </pageFields>
  <dataFields count="1">
    <dataField name="Soma de Receita" fld="6" baseField="1" baseItem="2" numFmtId="3"/>
  </dataFields>
  <formats count="1">
    <format dxfId="13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A39DB-CA54-4C78-A7F5-0639E4334A94}" name="Saldo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8">
  <location ref="AW3:AY13" firstHeaderRow="0" firstDataRow="1" firstDataCol="1"/>
  <pivotFields count="10">
    <pivotField numFmtId="14" showAll="0"/>
    <pivotField axis="axisRow" showAll="0">
      <items count="13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31">
        <item m="1" x="26"/>
        <item m="1" x="27"/>
        <item m="1" x="24"/>
        <item m="1" x="28"/>
        <item m="1" x="29"/>
        <item m="1" x="25"/>
        <item x="0"/>
        <item x="10"/>
        <item x="16"/>
        <item m="1" x="21"/>
        <item x="7"/>
        <item x="8"/>
        <item x="19"/>
        <item x="4"/>
        <item x="14"/>
        <item x="11"/>
        <item x="5"/>
        <item x="12"/>
        <item x="13"/>
        <item x="6"/>
        <item x="17"/>
        <item x="9"/>
        <item x="15"/>
        <item x="2"/>
        <item x="18"/>
        <item m="1" x="22"/>
        <item x="1"/>
        <item x="3"/>
        <item x="20"/>
        <item m="1" x="23"/>
        <item t="default"/>
      </items>
    </pivotField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10">
    <i>
      <x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aldo Mês" fld="8" baseField="0" baseItem="0" numFmtId="3"/>
    <dataField name="Saldo Acumulado" fld="8" showDataAs="runTotal" baseField="1" baseItem="9"/>
  </dataFields>
  <formats count="1">
    <format dxfId="14">
      <pivotArea outline="0" collapsedLevelsAreSubtotals="1" fieldPosition="0"/>
    </format>
  </format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1DDE2-9A05-44B6-837A-AF2C6E2BE0D3}" name="Tabela dinâmica2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7">
  <location ref="BK5:BL20" firstHeaderRow="1" firstDataRow="1" firstDataCol="1" rowPageCount="1" colPageCount="1"/>
  <pivotFields count="10">
    <pivotField numFmtId="14" showAll="0"/>
    <pivotField showAll="0">
      <items count="13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axis="axisPage" showAll="0">
      <items count="5">
        <item x="0"/>
        <item x="1"/>
        <item x="2"/>
        <item m="1" x="3"/>
        <item t="default"/>
      </items>
    </pivotField>
    <pivotField axis="axisRow" showAll="0">
      <items count="31">
        <item m="1" x="26"/>
        <item m="1" x="27"/>
        <item m="1" x="24"/>
        <item m="1" x="28"/>
        <item m="1" x="29"/>
        <item m="1" x="25"/>
        <item m="1" x="22"/>
        <item x="2"/>
        <item m="1" x="23"/>
        <item x="1"/>
        <item m="1" x="21"/>
        <item x="4"/>
        <item x="5"/>
        <item x="6"/>
        <item x="7"/>
        <item x="0"/>
        <item x="3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15"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1"/>
    </i>
    <i>
      <x v="22"/>
    </i>
    <i>
      <x v="23"/>
    </i>
    <i>
      <x v="24"/>
    </i>
    <i>
      <x v="25"/>
    </i>
    <i>
      <x v="28"/>
    </i>
    <i t="grand">
      <x/>
    </i>
  </rowItems>
  <colItems count="1">
    <i/>
  </colItems>
  <pageFields count="1">
    <pageField fld="4" item="0" hier="-1"/>
  </pageFields>
  <dataFields count="1">
    <dataField name="Soma de Transferência" fld="7" baseField="0" baseItem="0"/>
  </dataFields>
  <formats count="1">
    <format dxfId="15">
      <pivotArea outline="0" collapsedLevelsAreSubtotals="1" fieldPosition="0"/>
    </format>
  </formats>
  <chartFormats count="1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FED4E-7217-4DD3-91B3-1AA55A62081B}" name="Despesas x Categorias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9">
  <location ref="Z3:AO14" firstHeaderRow="1" firstDataRow="2" firstDataCol="1" rowPageCount="1" colPageCount="1"/>
  <pivotFields count="10">
    <pivotField numFmtId="14" showAll="0"/>
    <pivotField axis="axisRow" showAll="0">
      <items count="13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Page" showAll="0">
      <items count="5">
        <item x="0"/>
        <item x="1"/>
        <item x="2"/>
        <item m="1" x="3"/>
        <item t="default"/>
      </items>
    </pivotField>
    <pivotField axis="axisCol" showAll="0">
      <items count="31">
        <item m="1" x="26"/>
        <item m="1" x="27"/>
        <item m="1" x="24"/>
        <item m="1" x="28"/>
        <item m="1" x="29"/>
        <item m="1" x="25"/>
        <item m="1" x="22"/>
        <item x="2"/>
        <item m="1" x="23"/>
        <item x="1"/>
        <item m="1" x="21"/>
        <item x="4"/>
        <item x="5"/>
        <item x="6"/>
        <item x="7"/>
        <item x="0"/>
        <item x="3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10">
    <i>
      <x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t="grand">
      <x/>
    </i>
  </rowItems>
  <colFields count="1">
    <field x="5"/>
  </colFields>
  <colItems count="15"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1"/>
    </i>
    <i>
      <x v="22"/>
    </i>
    <i>
      <x v="23"/>
    </i>
    <i>
      <x v="24"/>
    </i>
    <i>
      <x v="25"/>
    </i>
    <i>
      <x v="28"/>
    </i>
    <i t="grand">
      <x/>
    </i>
  </colItems>
  <pageFields count="1">
    <pageField fld="4" item="0" hier="-1"/>
  </pageFields>
  <dataFields count="1">
    <dataField name="Soma de Transferência" fld="7" baseField="0" baseItem="0"/>
  </dataFields>
  <formats count="1">
    <format dxfId="16">
      <pivotArea outline="0" collapsedLevelsAreSubtotals="1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33F8C-2567-45CD-8641-816DB005F760}" name="Receita x Despesa" cacheId="52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chartFormat="13">
  <location ref="B3:D13" firstHeaderRow="0" firstDataRow="1" firstDataCol="1"/>
  <pivotFields count="10">
    <pivotField numFmtId="14" showAll="0"/>
    <pivotField axis="axisRow" showAll="0">
      <items count="13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31">
        <item m="1" x="26"/>
        <item m="1" x="27"/>
        <item m="1" x="24"/>
        <item m="1" x="28"/>
        <item m="1" x="29"/>
        <item m="1" x="25"/>
        <item x="0"/>
        <item x="10"/>
        <item x="16"/>
        <item m="1" x="21"/>
        <item x="7"/>
        <item x="8"/>
        <item x="19"/>
        <item x="4"/>
        <item x="14"/>
        <item x="11"/>
        <item x="5"/>
        <item x="12"/>
        <item x="13"/>
        <item x="6"/>
        <item x="17"/>
        <item x="9"/>
        <item x="15"/>
        <item x="2"/>
        <item x="18"/>
        <item m="1" x="22"/>
        <item x="1"/>
        <item x="3"/>
        <item x="20"/>
        <item m="1" x="23"/>
        <item t="default"/>
      </items>
    </pivotField>
    <pivotField dataField="1"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10">
    <i>
      <x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Receitas" fld="6" baseField="1" baseItem="0"/>
    <dataField name="Aporte" fld="7" baseField="2" baseItem="0"/>
  </dataFields>
  <formats count="1">
    <format dxfId="17">
      <pivotArea outline="0" collapsedLevelsAreSubtotals="1" fieldPosition="0"/>
    </format>
  </format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C3202-4CE1-4CDD-9811-F291DFA0DAC7}" name="Totalizadores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B3:BD4" firstHeaderRow="0" firstDataRow="1" firstDataCol="0"/>
  <pivotFields count="10">
    <pivotField numFmtId="14" showAll="0"/>
    <pivotField showAll="0">
      <items count="13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31">
        <item m="1" x="26"/>
        <item m="1" x="27"/>
        <item m="1" x="24"/>
        <item m="1" x="28"/>
        <item m="1" x="29"/>
        <item m="1" x="25"/>
        <item x="0"/>
        <item x="10"/>
        <item x="16"/>
        <item m="1" x="21"/>
        <item x="7"/>
        <item x="8"/>
        <item x="19"/>
        <item x="4"/>
        <item x="14"/>
        <item x="11"/>
        <item x="5"/>
        <item x="12"/>
        <item x="13"/>
        <item x="6"/>
        <item x="17"/>
        <item x="9"/>
        <item x="15"/>
        <item x="2"/>
        <item x="18"/>
        <item m="1" x="22"/>
        <item x="1"/>
        <item x="3"/>
        <item x="20"/>
        <item m="1" x="23"/>
        <item t="default"/>
      </items>
    </pivotField>
    <pivotField dataField="1" showAll="0"/>
    <pivotField dataField="1" showAll="0">
      <items count="171">
        <item x="118"/>
        <item x="82"/>
        <item x="29"/>
        <item x="144"/>
        <item x="16"/>
        <item x="15"/>
        <item x="27"/>
        <item x="65"/>
        <item x="35"/>
        <item x="136"/>
        <item x="12"/>
        <item x="8"/>
        <item x="162"/>
        <item x="25"/>
        <item x="28"/>
        <item x="59"/>
        <item x="126"/>
        <item x="58"/>
        <item x="20"/>
        <item x="115"/>
        <item x="10"/>
        <item x="17"/>
        <item x="26"/>
        <item x="32"/>
        <item x="57"/>
        <item x="69"/>
        <item x="86"/>
        <item x="96"/>
        <item x="47"/>
        <item x="94"/>
        <item x="56"/>
        <item x="45"/>
        <item x="129"/>
        <item x="155"/>
        <item x="106"/>
        <item x="9"/>
        <item x="112"/>
        <item x="132"/>
        <item x="109"/>
        <item x="121"/>
        <item x="52"/>
        <item x="80"/>
        <item x="123"/>
        <item x="98"/>
        <item x="111"/>
        <item x="160"/>
        <item x="128"/>
        <item x="100"/>
        <item x="161"/>
        <item x="101"/>
        <item x="30"/>
        <item x="40"/>
        <item x="55"/>
        <item x="67"/>
        <item x="105"/>
        <item x="120"/>
        <item x="125"/>
        <item x="49"/>
        <item x="133"/>
        <item x="31"/>
        <item x="36"/>
        <item x="103"/>
        <item x="11"/>
        <item x="85"/>
        <item x="153"/>
        <item x="53"/>
        <item x="140"/>
        <item x="116"/>
        <item x="167"/>
        <item x="150"/>
        <item x="34"/>
        <item x="66"/>
        <item x="159"/>
        <item x="50"/>
        <item x="71"/>
        <item x="13"/>
        <item x="137"/>
        <item x="39"/>
        <item x="84"/>
        <item x="152"/>
        <item x="54"/>
        <item x="23"/>
        <item x="164"/>
        <item x="134"/>
        <item x="163"/>
        <item x="62"/>
        <item x="41"/>
        <item x="63"/>
        <item x="139"/>
        <item x="24"/>
        <item x="107"/>
        <item x="60"/>
        <item x="18"/>
        <item x="158"/>
        <item x="131"/>
        <item x="22"/>
        <item x="142"/>
        <item x="0"/>
        <item x="117"/>
        <item x="148"/>
        <item x="138"/>
        <item x="88"/>
        <item x="21"/>
        <item x="74"/>
        <item x="113"/>
        <item x="97"/>
        <item x="64"/>
        <item x="51"/>
        <item x="124"/>
        <item x="7"/>
        <item x="157"/>
        <item x="42"/>
        <item x="76"/>
        <item x="95"/>
        <item x="135"/>
        <item x="1"/>
        <item x="46"/>
        <item x="156"/>
        <item x="92"/>
        <item x="119"/>
        <item x="48"/>
        <item x="73"/>
        <item x="166"/>
        <item x="114"/>
        <item x="102"/>
        <item x="72"/>
        <item x="19"/>
        <item x="141"/>
        <item x="2"/>
        <item x="127"/>
        <item x="110"/>
        <item x="75"/>
        <item x="78"/>
        <item x="61"/>
        <item x="44"/>
        <item x="4"/>
        <item x="83"/>
        <item x="38"/>
        <item x="149"/>
        <item x="37"/>
        <item x="87"/>
        <item x="169"/>
        <item x="151"/>
        <item x="14"/>
        <item x="77"/>
        <item x="122"/>
        <item x="145"/>
        <item x="99"/>
        <item x="147"/>
        <item x="81"/>
        <item x="68"/>
        <item x="165"/>
        <item x="6"/>
        <item x="143"/>
        <item x="79"/>
        <item x="5"/>
        <item x="146"/>
        <item x="91"/>
        <item x="90"/>
        <item x="168"/>
        <item x="43"/>
        <item x="70"/>
        <item x="33"/>
        <item x="93"/>
        <item x="104"/>
        <item x="108"/>
        <item x="130"/>
        <item x="154"/>
        <item x="89"/>
        <item x="3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Receita" fld="6" baseField="0" baseItem="1"/>
    <dataField name="Soma de Transferência" fld="7" baseField="0" baseItem="0"/>
    <dataField name="Soma de Saldo" fld="8" baseField="0" baseItem="0"/>
  </dataFields>
  <formats count="1">
    <format dxfId="18">
      <pivotArea outline="0" collapsedLevelsAreSubtotals="1" fieldPosition="0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C2743-7A98-4B23-95CF-AA12ABAA6E82}" name="Tabela dinâmica3" cacheId="52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9">
  <location ref="BG5:BH14" firstHeaderRow="1" firstDataRow="1" firstDataCol="1" rowPageCount="1" colPageCount="1"/>
  <pivotFields count="10">
    <pivotField numFmtId="14" showAll="0"/>
    <pivotField showAll="0">
      <items count="13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axis="axisPage" showAll="0">
      <items count="5">
        <item x="0"/>
        <item x="1"/>
        <item x="2"/>
        <item m="1" x="3"/>
        <item t="default"/>
      </items>
    </pivotField>
    <pivotField axis="axisRow" showAll="0">
      <items count="31">
        <item m="1" x="26"/>
        <item m="1" x="27"/>
        <item m="1" x="24"/>
        <item m="1" x="28"/>
        <item m="1" x="29"/>
        <item m="1" x="25"/>
        <item m="1" x="22"/>
        <item x="2"/>
        <item m="1" x="23"/>
        <item x="1"/>
        <item m="1" x="21"/>
        <item x="4"/>
        <item x="5"/>
        <item x="6"/>
        <item x="7"/>
        <item x="0"/>
        <item x="3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9">
    <i>
      <x v="9"/>
    </i>
    <i>
      <x v="12"/>
    </i>
    <i>
      <x v="13"/>
    </i>
    <i>
      <x v="18"/>
    </i>
    <i>
      <x v="20"/>
    </i>
    <i>
      <x v="26"/>
    </i>
    <i>
      <x v="27"/>
    </i>
    <i>
      <x v="29"/>
    </i>
    <i t="grand">
      <x/>
    </i>
  </rowItems>
  <colItems count="1">
    <i/>
  </colItems>
  <pageFields count="1">
    <pageField fld="4" item="1" hier="-1"/>
  </pageFields>
  <dataFields count="1">
    <dataField name="Soma de Receita" fld="6" baseField="1" baseItem="2" numFmtId="3"/>
  </dataFields>
  <formats count="1">
    <format dxfId="19">
      <pivotArea outline="0" collapsedLevelsAreSubtotals="1" fieldPosition="0"/>
    </format>
  </formats>
  <chartFormats count="13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7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E1C292F4-4100-472C-A264-627E95BC8AF2}" sourceName="Mês">
  <pivotTables>
    <pivotTable tabId="2" name="Receita x Despesa"/>
    <pivotTable tabId="2" name="Receitas x Categorias"/>
    <pivotTable tabId="2" name="Despesas x Categorias"/>
    <pivotTable tabId="2" name="Saldo"/>
    <pivotTable tabId="2" name="Totalizadores"/>
    <pivotTable tabId="2" name="Tabela dinâmica2"/>
    <pivotTable tabId="2" name="Tabela dinâmica3"/>
  </pivotTables>
  <data>
    <tabular pivotCacheId="53282988">
      <items count="12">
        <i x="5" s="1"/>
        <i x="6" s="1"/>
        <i x="0" s="1"/>
        <i x="1" s="1"/>
        <i x="2" s="1"/>
        <i x="3" s="1"/>
        <i x="4" s="1"/>
        <i x="7" s="1" nd="1"/>
        <i x="8" s="1" nd="1"/>
        <i x="9" s="1" nd="1"/>
        <i x="10" s="1" nd="1"/>
        <i x="1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A9CE0F29-75D9-4BD0-A50B-67B2D22A3A2E}" sourceName="Categoria">
  <pivotTables>
    <pivotTable tabId="2" name="Receita x Despesa"/>
    <pivotTable tabId="2" name="Totalizadores"/>
    <pivotTable tabId="2" name="Saldo"/>
    <pivotTable tabId="2" name="Despesas x Categorias"/>
    <pivotTable tabId="2" name="Receitas x Categorias"/>
    <pivotTable tabId="2" name="Tabela dinâmica2"/>
    <pivotTable tabId="2" name="Tabela dinâmica3"/>
  </pivotTables>
  <data>
    <tabular pivotCacheId="53282988">
      <items count="30">
        <i x="0" s="1"/>
        <i x="10" s="1"/>
        <i x="16" s="1"/>
        <i x="7" s="1"/>
        <i x="8" s="1"/>
        <i x="19" s="1"/>
        <i x="4" s="1"/>
        <i x="14" s="1"/>
        <i x="11" s="1"/>
        <i x="5" s="1"/>
        <i x="12" s="1"/>
        <i x="13" s="1"/>
        <i x="6" s="1"/>
        <i x="17" s="1"/>
        <i x="9" s="1"/>
        <i x="15" s="1"/>
        <i x="2" s="1"/>
        <i x="18" s="1"/>
        <i x="1" s="1"/>
        <i x="3" s="1"/>
        <i x="20" s="1"/>
        <i x="26" s="1" nd="1"/>
        <i x="27" s="1" nd="1"/>
        <i x="24" s="1" nd="1"/>
        <i x="28" s="1" nd="1"/>
        <i x="29" s="1" nd="1"/>
        <i x="25" s="1" nd="1"/>
        <i x="21" s="1" nd="1"/>
        <i x="22" s="1" nd="1"/>
        <i x="2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6265763B-3438-4A60-A0BD-1FB1B37AD6CF}" sourceName="ANO">
  <pivotTables>
    <pivotTable tabId="2" name="Receita x Despesa"/>
    <pivotTable tabId="2" name="Despesas x Categorias"/>
    <pivotTable tabId="2" name="Receitas x Categorias"/>
    <pivotTable tabId="2" name="Saldo"/>
    <pivotTable tabId="2" name="Tabela dinâmica2"/>
    <pivotTable tabId="2" name="Tabela dinâmica3"/>
    <pivotTable tabId="2" name="Totalizadores"/>
  </pivotTables>
  <data>
    <tabular pivotCacheId="53282988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23AF1637-AA53-45BF-910C-881796AA9CEF}" sourceName="Mês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F4475B2D-BA52-4953-9C5C-BBD8759F7A58}" sourceName="Tipo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3FFDE114-D138-45D3-B0FF-7CEE8EF3B64A}" sourceName="Categoria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" xr10:uid="{9877570F-FD2F-42A0-96A3-F5BEFE373DD1}" cache="SegmentaçãodeDados_Mês1" caption="Mês" columnCount="12" style="SlicerStyleDark1 2" rowHeight="234950"/>
  <slicer name="Categoria 1" xr10:uid="{9CB4CE86-1716-4870-A990-2C0286126F4E}" cache="SegmentaçãodeDados_Categoria1" caption="Categoria" columnCount="6" style="SlicerStyleDark1 2" rowHeight="234950"/>
  <slicer name="ANO" xr10:uid="{7BC49019-48B1-4F4B-B73B-CEC91BE309D5}" cache="SegmentaçãodeDados_ANO" caption="ANO" style="SlicerStyleDark1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59EEC3DA-D99B-49E4-9274-CB128137CBE3}" cache="SegmentaçãodeDados_Mês" caption="Mês" columnCount="12" style="SlicerStyleDark1" rowHeight="234950"/>
  <slicer name="Tipo" xr10:uid="{8479208E-6F43-4F57-B9F2-2F3A0360E94B}" cache="SegmentaçãodeDados_Tipo" caption="Tipo" columnCount="2" style="SlicerStyleDark1" rowHeight="234950"/>
  <slicer name="Categoria" xr10:uid="{8C1E1F0C-EEC2-48E3-8050-9217994FFA0F}" cache="SegmentaçãodeDados_Categoria" caption="Categoria" startItem="12" columnCount="3" style="SlicerStyleDark1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B5241-B543-48F4-B192-38324E7C40E9}" name="LANÇAMENTOS" displayName="LANÇAMENTOS" ref="B2:L265" totalsRowShown="0" headerRowDxfId="12" dataDxfId="11">
  <autoFilter ref="B2:L265" xr:uid="{76DB5241-B543-48F4-B192-38324E7C40E9}"/>
  <tableColumns count="11">
    <tableColumn id="1" xr3:uid="{211FD83C-6E1C-4021-AE3C-E7A654CA8D4D}" name="Data" dataDxfId="10"/>
    <tableColumn id="7" xr3:uid="{D0ED41B4-A92D-4D73-A1C5-BF9D7F198806}" name="Mês" dataDxfId="9">
      <calculatedColumnFormula>UPPER(TEXT(LANÇAMENTOS[[#This Row],[Data]],"mmm"))</calculatedColumnFormula>
    </tableColumn>
    <tableColumn id="9" xr3:uid="{6CD27154-8145-4236-B56F-A9524FC809C7}" name="ANO" dataDxfId="8">
      <calculatedColumnFormula>UPPER(TEXT(LANÇAMENTOS[[#This Row],[Data]],"AAAA"))</calculatedColumnFormula>
    </tableColumn>
    <tableColumn id="2" xr3:uid="{5C92E6B3-B27E-4FBB-A015-FE9F874B3262}" name="Descrição" dataDxfId="7"/>
    <tableColumn id="3" xr3:uid="{87918DB9-2F72-4998-9E50-6FB455C509E2}" name="Tipo" dataDxfId="6"/>
    <tableColumn id="4" xr3:uid="{DFF87AE0-215E-4A3D-B107-190D509CFF82}" name="Categoria" dataDxfId="5"/>
    <tableColumn id="8" xr3:uid="{B2E2DA25-56A3-4AF6-BC3A-AAC95F9BC21F}" name="Coluna1" dataDxfId="2">
      <calculatedColumnFormula>LANÇAMENTOS[[#This Row],[Categoria]]&amp;"-"&amp;LANÇAMENTOS[[#This Row],[Descrição]]</calculatedColumnFormula>
    </tableColumn>
    <tableColumn id="11" xr3:uid="{DD986588-4109-4A27-902F-2385F0EA7CFE}" name="Coluna12" dataDxfId="1">
      <calculatedColumnFormula>VLOOKUP(LANÇAMENTOS[[#This Row],[Coluna1]],[1]Planilha2!$K$2:$O$130,4,0)</calculatedColumnFormula>
    </tableColumn>
    <tableColumn id="10" xr3:uid="{6F79642D-FB97-4FE0-8C24-A2D5FA05F3F4}" name="Coluna2" dataDxfId="0">
      <calculatedColumnFormula>VLOOKUP(LANÇAMENTOS[[#This Row],[Coluna1]],[1]Planilha2!$K$2:$O$130,5,0)</calculatedColumnFormula>
    </tableColumn>
    <tableColumn id="5" xr3:uid="{1FCE9A23-F5A8-4E8D-9DAD-693EE48B1571}" name="Receita" dataDxfId="4"/>
    <tableColumn id="6" xr3:uid="{B82DD209-27B0-4840-8B81-447A7D9B0D68}" name="Transferência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4CE0-5481-49B4-A2F4-B1CCED9E8EB9}">
  <sheetPr codeName="Planilha1"/>
  <dimension ref="B1:AI42"/>
  <sheetViews>
    <sheetView showGridLines="0" zoomScale="85" zoomScaleNormal="85" workbookViewId="0">
      <selection activeCell="H8" sqref="H8"/>
    </sheetView>
  </sheetViews>
  <sheetFormatPr defaultRowHeight="15" x14ac:dyDescent="0.25"/>
  <cols>
    <col min="1" max="1" width="2.7109375" customWidth="1"/>
    <col min="30" max="30" width="5.5703125" customWidth="1"/>
  </cols>
  <sheetData>
    <row r="1" spans="2:35" s="7" customFormat="1" ht="7.5" customHeight="1" x14ac:dyDescent="0.25"/>
    <row r="2" spans="2:35" s="7" customFormat="1" ht="38.25" customHeight="1" x14ac:dyDescent="0.25">
      <c r="B2" s="22" t="s">
        <v>14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4"/>
    </row>
    <row r="3" spans="2:35" s="7" customFormat="1" ht="14.45" customHeight="1" x14ac:dyDescent="0.25">
      <c r="B3" s="8"/>
      <c r="AD3" s="9"/>
    </row>
    <row r="4" spans="2:35" x14ac:dyDescent="0.25"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10"/>
    </row>
    <row r="5" spans="2:35" x14ac:dyDescent="0.25"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0"/>
    </row>
    <row r="6" spans="2:35" x14ac:dyDescent="0.25"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10"/>
    </row>
    <row r="7" spans="2:35" x14ac:dyDescent="0.25"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0"/>
    </row>
    <row r="8" spans="2:35" x14ac:dyDescent="0.25"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0"/>
    </row>
    <row r="9" spans="2:35" x14ac:dyDescent="0.25"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0"/>
      <c r="AI9" s="15"/>
    </row>
    <row r="10" spans="2:35" x14ac:dyDescent="0.25"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0"/>
    </row>
    <row r="11" spans="2:35" x14ac:dyDescent="0.25"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0"/>
    </row>
    <row r="12" spans="2:35" x14ac:dyDescent="0.25"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0"/>
    </row>
    <row r="13" spans="2:35" x14ac:dyDescent="0.25"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10"/>
    </row>
    <row r="14" spans="2:35" x14ac:dyDescent="0.25"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0"/>
    </row>
    <row r="15" spans="2:35" x14ac:dyDescent="0.25"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0"/>
    </row>
    <row r="16" spans="2:35" x14ac:dyDescent="0.25"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0"/>
    </row>
    <row r="17" spans="2:30" x14ac:dyDescent="0.25"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0"/>
    </row>
    <row r="18" spans="2:30" x14ac:dyDescent="0.25"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0"/>
    </row>
    <row r="19" spans="2:30" x14ac:dyDescent="0.25"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0"/>
    </row>
    <row r="20" spans="2:30" x14ac:dyDescent="0.2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0"/>
    </row>
    <row r="21" spans="2:30" x14ac:dyDescent="0.25"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0"/>
    </row>
    <row r="22" spans="2:30" x14ac:dyDescent="0.25"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0"/>
    </row>
    <row r="23" spans="2:30" x14ac:dyDescent="0.25"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0"/>
    </row>
    <row r="24" spans="2:30" x14ac:dyDescent="0.25"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0"/>
    </row>
    <row r="25" spans="2:30" x14ac:dyDescent="0.25"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0"/>
    </row>
    <row r="26" spans="2:30" x14ac:dyDescent="0.25"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0"/>
    </row>
    <row r="27" spans="2:30" x14ac:dyDescent="0.25"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0"/>
    </row>
    <row r="28" spans="2:30" x14ac:dyDescent="0.25"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10"/>
    </row>
    <row r="29" spans="2:30" x14ac:dyDescent="0.25"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10"/>
    </row>
    <row r="30" spans="2:30" x14ac:dyDescent="0.25"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0"/>
    </row>
    <row r="31" spans="2:30" x14ac:dyDescent="0.25"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0"/>
    </row>
    <row r="32" spans="2:30" x14ac:dyDescent="0.25"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10"/>
    </row>
    <row r="33" spans="2:30" x14ac:dyDescent="0.25"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10"/>
    </row>
    <row r="34" spans="2:30" x14ac:dyDescent="0.25"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10"/>
    </row>
    <row r="35" spans="2:30" x14ac:dyDescent="0.25"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10"/>
    </row>
    <row r="36" spans="2:30" x14ac:dyDescent="0.25">
      <c r="B36" s="8"/>
      <c r="AD36" s="10"/>
    </row>
    <row r="37" spans="2:30" x14ac:dyDescent="0.25"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10"/>
    </row>
    <row r="38" spans="2:30" x14ac:dyDescent="0.25"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10"/>
    </row>
    <row r="39" spans="2:30" x14ac:dyDescent="0.25"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10"/>
    </row>
    <row r="40" spans="2:30" x14ac:dyDescent="0.25">
      <c r="B40" s="8"/>
      <c r="AD40" s="10"/>
    </row>
    <row r="41" spans="2:30" x14ac:dyDescent="0.25">
      <c r="B41" s="8"/>
      <c r="AD41" s="10"/>
    </row>
    <row r="42" spans="2:30" x14ac:dyDescent="0.25"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3"/>
    </row>
  </sheetData>
  <mergeCells count="1">
    <mergeCell ref="B2:AD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61D1-D9D3-4814-A2C9-55C5738F33F4}">
  <dimension ref="A1:C13"/>
  <sheetViews>
    <sheetView workbookViewId="0">
      <selection activeCell="A37" sqref="A37"/>
    </sheetView>
  </sheetViews>
  <sheetFormatPr defaultRowHeight="15" x14ac:dyDescent="0.25"/>
  <cols>
    <col min="1" max="1" width="19.140625" bestFit="1" customWidth="1"/>
    <col min="2" max="2" width="7.140625" bestFit="1" customWidth="1"/>
    <col min="3" max="3" width="16.85546875" bestFit="1" customWidth="1"/>
  </cols>
  <sheetData>
    <row r="1" spans="1:3" x14ac:dyDescent="0.25">
      <c r="A1" s="16" t="s">
        <v>96</v>
      </c>
    </row>
    <row r="2" spans="1:3" x14ac:dyDescent="0.25">
      <c r="A2" s="17" t="s">
        <v>97</v>
      </c>
      <c r="B2" s="17" t="s">
        <v>98</v>
      </c>
      <c r="C2" s="17" t="s">
        <v>99</v>
      </c>
    </row>
    <row r="3" spans="1:3" x14ac:dyDescent="0.25">
      <c r="A3">
        <v>1</v>
      </c>
      <c r="B3" t="s">
        <v>100</v>
      </c>
      <c r="C3" t="s">
        <v>101</v>
      </c>
    </row>
    <row r="5" spans="1:3" x14ac:dyDescent="0.25">
      <c r="A5" s="16" t="s">
        <v>102</v>
      </c>
    </row>
    <row r="6" spans="1:3" x14ac:dyDescent="0.25">
      <c r="A6" s="17" t="s">
        <v>97</v>
      </c>
      <c r="B6" s="17" t="s">
        <v>103</v>
      </c>
      <c r="C6" s="17" t="s">
        <v>99</v>
      </c>
    </row>
    <row r="9" spans="1:3" x14ac:dyDescent="0.25">
      <c r="A9" s="16" t="s">
        <v>104</v>
      </c>
      <c r="B9" t="s">
        <v>105</v>
      </c>
    </row>
    <row r="10" spans="1:3" x14ac:dyDescent="0.25">
      <c r="B10" t="s">
        <v>106</v>
      </c>
    </row>
    <row r="12" spans="1:3" x14ac:dyDescent="0.25">
      <c r="B12" t="s">
        <v>107</v>
      </c>
    </row>
    <row r="13" spans="1:3" x14ac:dyDescent="0.25">
      <c r="B13" t="s">
        <v>108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A15F-2AE1-49A2-9CA8-8FB61708FFF8}">
  <sheetPr codeName="Planilha2"/>
  <dimension ref="B1:BL20"/>
  <sheetViews>
    <sheetView showGridLines="0" topLeftCell="AP1" zoomScaleNormal="100" workbookViewId="0">
      <selection activeCell="BC4" sqref="BC4"/>
    </sheetView>
  </sheetViews>
  <sheetFormatPr defaultRowHeight="15" x14ac:dyDescent="0.25"/>
  <cols>
    <col min="2" max="2" width="18" bestFit="1" customWidth="1"/>
    <col min="3" max="3" width="8.42578125" bestFit="1" customWidth="1"/>
    <col min="4" max="4" width="7.140625" bestFit="1" customWidth="1"/>
    <col min="5" max="5" width="16.28515625" bestFit="1" customWidth="1"/>
    <col min="6" max="6" width="8.42578125" bestFit="1" customWidth="1"/>
    <col min="7" max="7" width="12.85546875" bestFit="1" customWidth="1"/>
    <col min="8" max="8" width="7.5703125" bestFit="1" customWidth="1"/>
    <col min="9" max="9" width="12" bestFit="1" customWidth="1"/>
    <col min="10" max="10" width="13.42578125" bestFit="1" customWidth="1"/>
    <col min="11" max="12" width="14.28515625" customWidth="1"/>
    <col min="13" max="13" width="18" bestFit="1" customWidth="1"/>
    <col min="14" max="14" width="19.5703125" bestFit="1" customWidth="1"/>
    <col min="15" max="15" width="6.28515625" bestFit="1" customWidth="1"/>
    <col min="16" max="16" width="8.7109375" bestFit="1" customWidth="1"/>
    <col min="17" max="17" width="5.5703125" bestFit="1" customWidth="1"/>
    <col min="18" max="18" width="14.5703125" bestFit="1" customWidth="1"/>
    <col min="19" max="19" width="6.85546875" bestFit="1" customWidth="1"/>
    <col min="20" max="20" width="11.7109375" bestFit="1" customWidth="1"/>
    <col min="21" max="21" width="4" bestFit="1" customWidth="1"/>
    <col min="22" max="24" width="10.5703125" customWidth="1"/>
    <col min="25" max="25" width="10.5703125" bestFit="1" customWidth="1"/>
    <col min="26" max="26" width="21.42578125" bestFit="1" customWidth="1"/>
    <col min="27" max="27" width="19.5703125" bestFit="1" customWidth="1"/>
    <col min="28" max="28" width="6.28515625" bestFit="1" customWidth="1"/>
    <col min="29" max="29" width="8.7109375" bestFit="1" customWidth="1"/>
    <col min="30" max="30" width="8.28515625" bestFit="1" customWidth="1"/>
    <col min="31" max="31" width="14.140625" bestFit="1" customWidth="1"/>
    <col min="32" max="32" width="12.5703125" bestFit="1" customWidth="1"/>
    <col min="33" max="33" width="19.42578125" bestFit="1" customWidth="1"/>
    <col min="34" max="34" width="14.85546875" bestFit="1" customWidth="1"/>
    <col min="35" max="35" width="11.5703125" bestFit="1" customWidth="1"/>
    <col min="36" max="36" width="5.28515625" bestFit="1" customWidth="1"/>
    <col min="37" max="37" width="8.5703125" bestFit="1" customWidth="1"/>
    <col min="38" max="38" width="9.7109375" bestFit="1" customWidth="1"/>
    <col min="39" max="39" width="12.28515625" bestFit="1" customWidth="1"/>
    <col min="40" max="40" width="7" bestFit="1" customWidth="1"/>
    <col min="41" max="48" width="10.5703125" customWidth="1"/>
    <col min="49" max="49" width="18" bestFit="1" customWidth="1"/>
    <col min="50" max="50" width="10" bestFit="1" customWidth="1"/>
    <col min="51" max="51" width="16.42578125" bestFit="1" customWidth="1"/>
    <col min="52" max="52" width="16.42578125" customWidth="1"/>
    <col min="53" max="53" width="13.5703125" bestFit="1" customWidth="1"/>
    <col min="54" max="54" width="15.7109375" bestFit="1" customWidth="1"/>
    <col min="55" max="55" width="21.42578125" bestFit="1" customWidth="1"/>
    <col min="56" max="56" width="14" bestFit="1" customWidth="1"/>
    <col min="57" max="57" width="21.140625" bestFit="1" customWidth="1"/>
    <col min="59" max="59" width="18" bestFit="1" customWidth="1"/>
    <col min="60" max="60" width="15.7109375" bestFit="1" customWidth="1"/>
    <col min="63" max="63" width="19.42578125" bestFit="1" customWidth="1"/>
    <col min="64" max="64" width="21.42578125" bestFit="1" customWidth="1"/>
    <col min="67" max="67" width="18" bestFit="1" customWidth="1"/>
    <col min="68" max="68" width="15.140625" bestFit="1" customWidth="1"/>
  </cols>
  <sheetData>
    <row r="1" spans="2:64" x14ac:dyDescent="0.25">
      <c r="M1" s="3" t="s">
        <v>3</v>
      </c>
      <c r="N1" t="s">
        <v>5</v>
      </c>
      <c r="Z1" s="3" t="s">
        <v>3</v>
      </c>
      <c r="AA1" t="s">
        <v>4</v>
      </c>
    </row>
    <row r="3" spans="2:64" x14ac:dyDescent="0.25">
      <c r="B3" s="3" t="s">
        <v>7</v>
      </c>
      <c r="C3" t="s">
        <v>15</v>
      </c>
      <c r="D3" t="s">
        <v>185</v>
      </c>
      <c r="M3" s="3" t="s">
        <v>11</v>
      </c>
      <c r="N3" s="3" t="s">
        <v>12</v>
      </c>
      <c r="Z3" s="3" t="s">
        <v>184</v>
      </c>
      <c r="AA3" s="3" t="s">
        <v>12</v>
      </c>
      <c r="AW3" s="3" t="s">
        <v>7</v>
      </c>
      <c r="AX3" t="s">
        <v>16</v>
      </c>
      <c r="AY3" t="s">
        <v>17</v>
      </c>
      <c r="BB3" t="s">
        <v>11</v>
      </c>
      <c r="BC3" t="s">
        <v>184</v>
      </c>
      <c r="BD3" t="s">
        <v>13</v>
      </c>
      <c r="BG3" s="3" t="s">
        <v>3</v>
      </c>
      <c r="BH3" t="s">
        <v>5</v>
      </c>
      <c r="BK3" s="3" t="s">
        <v>3</v>
      </c>
      <c r="BL3" t="s">
        <v>4</v>
      </c>
    </row>
    <row r="4" spans="2:64" x14ac:dyDescent="0.25">
      <c r="B4" s="4" t="s">
        <v>182</v>
      </c>
      <c r="C4" s="6">
        <v>32055.75</v>
      </c>
      <c r="D4" s="6">
        <v>28618.309999999998</v>
      </c>
      <c r="M4" s="3" t="s">
        <v>7</v>
      </c>
      <c r="N4" t="s">
        <v>25</v>
      </c>
      <c r="O4" t="s">
        <v>27</v>
      </c>
      <c r="P4" t="s">
        <v>28</v>
      </c>
      <c r="Q4" t="s">
        <v>57</v>
      </c>
      <c r="R4" t="s">
        <v>59</v>
      </c>
      <c r="S4" t="s">
        <v>141</v>
      </c>
      <c r="T4" t="s">
        <v>143</v>
      </c>
      <c r="U4" t="s">
        <v>165</v>
      </c>
      <c r="V4" t="s">
        <v>10</v>
      </c>
      <c r="Z4" s="3" t="s">
        <v>7</v>
      </c>
      <c r="AA4" t="s">
        <v>24</v>
      </c>
      <c r="AB4" t="s">
        <v>27</v>
      </c>
      <c r="AC4" t="s">
        <v>28</v>
      </c>
      <c r="AD4" t="s">
        <v>31</v>
      </c>
      <c r="AE4" t="s">
        <v>33</v>
      </c>
      <c r="AF4" t="s">
        <v>35</v>
      </c>
      <c r="AG4" t="s">
        <v>46</v>
      </c>
      <c r="AH4" t="s">
        <v>56</v>
      </c>
      <c r="AI4" t="s">
        <v>78</v>
      </c>
      <c r="AJ4" t="s">
        <v>81</v>
      </c>
      <c r="AK4" t="s">
        <v>88</v>
      </c>
      <c r="AL4" t="s">
        <v>111</v>
      </c>
      <c r="AM4" t="s">
        <v>131</v>
      </c>
      <c r="AN4" t="s">
        <v>145</v>
      </c>
      <c r="AO4" t="s">
        <v>10</v>
      </c>
      <c r="AW4" s="4" t="s">
        <v>182</v>
      </c>
      <c r="AX4" s="6">
        <v>3437.440000000006</v>
      </c>
      <c r="AY4" s="6"/>
      <c r="AZ4" s="6"/>
      <c r="BB4" s="5">
        <v>42411.64</v>
      </c>
      <c r="BC4" s="5">
        <v>42857.89</v>
      </c>
      <c r="BD4" s="5">
        <v>-446.25</v>
      </c>
    </row>
    <row r="5" spans="2:64" x14ac:dyDescent="0.25">
      <c r="B5" s="21" t="s">
        <v>8</v>
      </c>
      <c r="C5" s="6">
        <v>4352.2299999999996</v>
      </c>
      <c r="D5" s="6">
        <v>2358.14</v>
      </c>
      <c r="M5" s="4" t="s">
        <v>182</v>
      </c>
      <c r="N5" s="6">
        <v>27249.1</v>
      </c>
      <c r="O5" s="6"/>
      <c r="P5" s="6">
        <v>997.72</v>
      </c>
      <c r="Q5" s="6">
        <v>3771.76</v>
      </c>
      <c r="R5" s="6">
        <v>8.99</v>
      </c>
      <c r="S5" s="6"/>
      <c r="T5" s="6"/>
      <c r="U5" s="6"/>
      <c r="V5" s="6">
        <v>32027.57</v>
      </c>
      <c r="W5" s="6"/>
      <c r="X5" s="6"/>
      <c r="Z5" s="4" t="s">
        <v>182</v>
      </c>
      <c r="AA5" s="6">
        <v>500</v>
      </c>
      <c r="AB5" s="6">
        <v>3364.26</v>
      </c>
      <c r="AC5" s="6">
        <v>571</v>
      </c>
      <c r="AD5" s="6">
        <v>49.95</v>
      </c>
      <c r="AE5" s="6">
        <v>3282.74</v>
      </c>
      <c r="AF5" s="6">
        <v>1878.8899999999999</v>
      </c>
      <c r="AG5" s="6">
        <v>1767.3899999999999</v>
      </c>
      <c r="AH5" s="6">
        <v>5969.84</v>
      </c>
      <c r="AI5" s="6">
        <v>307</v>
      </c>
      <c r="AJ5" s="6">
        <v>359.32</v>
      </c>
      <c r="AK5" s="6">
        <v>253.03</v>
      </c>
      <c r="AL5" s="6">
        <v>326.89</v>
      </c>
      <c r="AM5" s="6"/>
      <c r="AN5" s="6"/>
      <c r="AO5" s="6">
        <v>18630.309999999998</v>
      </c>
      <c r="AP5" s="6"/>
      <c r="AQ5" s="6"/>
      <c r="AR5" s="6"/>
      <c r="AS5" s="6"/>
      <c r="AT5" s="6"/>
      <c r="AU5" s="6"/>
      <c r="AV5" s="6"/>
      <c r="AW5" s="21" t="s">
        <v>8</v>
      </c>
      <c r="AX5" s="6">
        <v>1994.0899999999997</v>
      </c>
      <c r="AY5" s="6">
        <v>1994.0899999999997</v>
      </c>
      <c r="AZ5" s="6"/>
      <c r="BG5" s="3" t="s">
        <v>7</v>
      </c>
      <c r="BH5" t="s">
        <v>11</v>
      </c>
      <c r="BK5" s="3" t="s">
        <v>7</v>
      </c>
      <c r="BL5" t="s">
        <v>184</v>
      </c>
    </row>
    <row r="6" spans="2:64" x14ac:dyDescent="0.25">
      <c r="B6" s="21" t="s">
        <v>9</v>
      </c>
      <c r="C6" s="6">
        <v>8862.99</v>
      </c>
      <c r="D6" s="6">
        <v>2960.48</v>
      </c>
      <c r="K6" s="6"/>
      <c r="L6" s="6"/>
      <c r="M6" s="21" t="s">
        <v>8</v>
      </c>
      <c r="N6" s="6">
        <v>4320.2299999999996</v>
      </c>
      <c r="O6" s="6"/>
      <c r="P6" s="6">
        <v>32</v>
      </c>
      <c r="Q6" s="6"/>
      <c r="R6" s="6"/>
      <c r="S6" s="6"/>
      <c r="T6" s="6"/>
      <c r="U6" s="6"/>
      <c r="V6" s="6">
        <v>4352.2299999999996</v>
      </c>
      <c r="W6" s="6"/>
      <c r="X6" s="6"/>
      <c r="Z6" s="21" t="s">
        <v>8</v>
      </c>
      <c r="AA6" s="6">
        <v>500</v>
      </c>
      <c r="AB6" s="6">
        <v>418</v>
      </c>
      <c r="AC6" s="6"/>
      <c r="AD6" s="6"/>
      <c r="AE6" s="6">
        <v>456.85</v>
      </c>
      <c r="AF6" s="6">
        <v>744.82999999999993</v>
      </c>
      <c r="AG6" s="6"/>
      <c r="AH6" s="6"/>
      <c r="AI6" s="6"/>
      <c r="AJ6" s="6"/>
      <c r="AK6" s="6"/>
      <c r="AL6" s="6"/>
      <c r="AM6" s="6"/>
      <c r="AN6" s="6"/>
      <c r="AO6" s="6">
        <v>2119.6799999999998</v>
      </c>
      <c r="AP6" s="6"/>
      <c r="AQ6" s="6"/>
      <c r="AR6" s="6"/>
      <c r="AS6" s="6"/>
      <c r="AT6" s="6"/>
      <c r="AU6" s="6"/>
      <c r="AV6" s="6"/>
      <c r="AW6" s="21" t="s">
        <v>9</v>
      </c>
      <c r="AX6" s="6">
        <v>5902.51</v>
      </c>
      <c r="AY6" s="6">
        <v>7896.6</v>
      </c>
      <c r="AZ6" s="6"/>
      <c r="BG6" s="4" t="s">
        <v>25</v>
      </c>
      <c r="BH6" s="6">
        <v>32457.25</v>
      </c>
      <c r="BK6" s="4" t="s">
        <v>24</v>
      </c>
      <c r="BL6" s="6">
        <v>500</v>
      </c>
    </row>
    <row r="7" spans="2:64" x14ac:dyDescent="0.25">
      <c r="B7" s="21" t="s">
        <v>65</v>
      </c>
      <c r="C7" s="6">
        <v>5266.11</v>
      </c>
      <c r="D7" s="6">
        <v>3623.9899999999993</v>
      </c>
      <c r="K7" s="6"/>
      <c r="L7" s="6"/>
      <c r="M7" s="21" t="s">
        <v>9</v>
      </c>
      <c r="N7" s="6">
        <v>5005.1000000000004</v>
      </c>
      <c r="O7" s="6"/>
      <c r="P7" s="6">
        <v>82</v>
      </c>
      <c r="Q7" s="6">
        <v>3771.76</v>
      </c>
      <c r="R7" s="6"/>
      <c r="S7" s="6"/>
      <c r="T7" s="6"/>
      <c r="U7" s="6"/>
      <c r="V7" s="6">
        <v>8858.86</v>
      </c>
      <c r="W7" s="6"/>
      <c r="X7" s="6"/>
      <c r="Z7" s="21" t="s">
        <v>9</v>
      </c>
      <c r="AA7" s="6"/>
      <c r="AB7" s="6">
        <v>517.09</v>
      </c>
      <c r="AC7" s="6"/>
      <c r="AD7" s="6">
        <v>19.98</v>
      </c>
      <c r="AE7" s="6">
        <v>138.78</v>
      </c>
      <c r="AF7" s="6">
        <v>191.12</v>
      </c>
      <c r="AG7" s="6">
        <v>412.28</v>
      </c>
      <c r="AH7" s="6">
        <v>1429.23</v>
      </c>
      <c r="AI7" s="6"/>
      <c r="AJ7" s="6"/>
      <c r="AK7" s="6"/>
      <c r="AL7" s="6"/>
      <c r="AM7" s="6"/>
      <c r="AN7" s="6"/>
      <c r="AO7" s="6">
        <v>2708.48</v>
      </c>
      <c r="AP7" s="6"/>
      <c r="AQ7" s="6"/>
      <c r="AR7" s="6"/>
      <c r="AS7" s="6"/>
      <c r="AT7" s="6"/>
      <c r="AU7" s="6"/>
      <c r="AV7" s="6"/>
      <c r="AW7" s="21" t="s">
        <v>65</v>
      </c>
      <c r="AX7" s="6">
        <v>1642.1200000000003</v>
      </c>
      <c r="AY7" s="6">
        <v>9538.7200000000012</v>
      </c>
      <c r="AZ7" s="6"/>
      <c r="BG7" s="4" t="s">
        <v>27</v>
      </c>
      <c r="BH7" s="6">
        <v>1809.1</v>
      </c>
      <c r="BK7" s="4" t="s">
        <v>27</v>
      </c>
      <c r="BL7" s="6">
        <v>6930.6999999999989</v>
      </c>
    </row>
    <row r="8" spans="2:64" x14ac:dyDescent="0.25">
      <c r="B8" s="21" t="s">
        <v>76</v>
      </c>
      <c r="C8" s="6">
        <v>7227.0700000000006</v>
      </c>
      <c r="D8" s="6">
        <v>5986.8899999999994</v>
      </c>
      <c r="K8" s="6"/>
      <c r="L8" s="6"/>
      <c r="M8" s="21" t="s">
        <v>65</v>
      </c>
      <c r="N8" s="6">
        <v>5162</v>
      </c>
      <c r="O8" s="6"/>
      <c r="P8" s="6">
        <v>97</v>
      </c>
      <c r="Q8" s="6"/>
      <c r="R8" s="6"/>
      <c r="S8" s="6"/>
      <c r="T8" s="6"/>
      <c r="U8" s="6"/>
      <c r="V8" s="6">
        <v>5259</v>
      </c>
      <c r="W8" s="6"/>
      <c r="X8" s="6"/>
      <c r="Z8" s="21" t="s">
        <v>65</v>
      </c>
      <c r="AA8" s="6"/>
      <c r="AB8" s="6">
        <v>569.29</v>
      </c>
      <c r="AC8" s="6">
        <v>146</v>
      </c>
      <c r="AD8" s="6">
        <v>9.99</v>
      </c>
      <c r="AE8" s="6">
        <v>673.43000000000006</v>
      </c>
      <c r="AF8" s="6">
        <v>430.73999999999995</v>
      </c>
      <c r="AG8" s="6">
        <v>142.74</v>
      </c>
      <c r="AH8" s="6">
        <v>1399.8</v>
      </c>
      <c r="AI8" s="6"/>
      <c r="AJ8" s="6"/>
      <c r="AK8" s="6"/>
      <c r="AL8" s="6"/>
      <c r="AM8" s="6"/>
      <c r="AN8" s="6"/>
      <c r="AO8" s="6">
        <v>3371.99</v>
      </c>
      <c r="AP8" s="6"/>
      <c r="AQ8" s="6"/>
      <c r="AR8" s="6"/>
      <c r="AS8" s="6"/>
      <c r="AT8" s="6"/>
      <c r="AU8" s="6"/>
      <c r="AV8" s="6"/>
      <c r="AW8" s="21" t="s">
        <v>76</v>
      </c>
      <c r="AX8" s="6">
        <v>1240.1800000000012</v>
      </c>
      <c r="AY8" s="6">
        <v>10778.900000000001</v>
      </c>
      <c r="AZ8" s="6"/>
      <c r="BG8" s="4" t="s">
        <v>28</v>
      </c>
      <c r="BH8" s="6">
        <v>1754.73</v>
      </c>
      <c r="BK8" s="4" t="s">
        <v>28</v>
      </c>
      <c r="BL8" s="6">
        <v>1641</v>
      </c>
    </row>
    <row r="9" spans="2:64" x14ac:dyDescent="0.25">
      <c r="B9" s="21" t="s">
        <v>109</v>
      </c>
      <c r="C9" s="6">
        <v>6347.35</v>
      </c>
      <c r="D9" s="6">
        <v>13688.809999999998</v>
      </c>
      <c r="K9" s="6"/>
      <c r="L9" s="6"/>
      <c r="M9" s="21" t="s">
        <v>76</v>
      </c>
      <c r="N9" s="6">
        <v>6574.9400000000005</v>
      </c>
      <c r="O9" s="6"/>
      <c r="P9" s="6">
        <v>643.14</v>
      </c>
      <c r="Q9" s="6"/>
      <c r="R9" s="6">
        <v>8.99</v>
      </c>
      <c r="S9" s="6"/>
      <c r="T9" s="6"/>
      <c r="U9" s="6"/>
      <c r="V9" s="6">
        <v>7227.0700000000006</v>
      </c>
      <c r="W9" s="6"/>
      <c r="X9" s="6"/>
      <c r="Z9" s="21" t="s">
        <v>76</v>
      </c>
      <c r="AA9" s="6"/>
      <c r="AB9" s="6">
        <v>1270.23</v>
      </c>
      <c r="AC9" s="6">
        <v>425</v>
      </c>
      <c r="AD9" s="6">
        <v>9.99</v>
      </c>
      <c r="AE9" s="6">
        <v>1020.23</v>
      </c>
      <c r="AF9" s="6">
        <v>251.03000000000003</v>
      </c>
      <c r="AG9" s="6">
        <v>538.9899999999999</v>
      </c>
      <c r="AH9" s="6">
        <v>1527.0700000000002</v>
      </c>
      <c r="AI9" s="6">
        <v>80</v>
      </c>
      <c r="AJ9" s="6">
        <v>359.32</v>
      </c>
      <c r="AK9" s="6">
        <v>253.03</v>
      </c>
      <c r="AL9" s="6"/>
      <c r="AM9" s="6"/>
      <c r="AN9" s="6"/>
      <c r="AO9" s="6">
        <v>5734.8899999999994</v>
      </c>
      <c r="AP9" s="6"/>
      <c r="AQ9" s="6"/>
      <c r="AR9" s="6"/>
      <c r="AS9" s="6"/>
      <c r="AT9" s="6"/>
      <c r="AU9" s="6"/>
      <c r="AV9" s="6"/>
      <c r="AW9" s="21" t="s">
        <v>109</v>
      </c>
      <c r="AX9" s="6">
        <v>-7341.4599999999973</v>
      </c>
      <c r="AY9" s="6">
        <v>3437.4400000000041</v>
      </c>
      <c r="BG9" s="4" t="s">
        <v>57</v>
      </c>
      <c r="BH9" s="6">
        <v>3771.76</v>
      </c>
      <c r="BK9" s="4" t="s">
        <v>31</v>
      </c>
      <c r="BL9" s="6">
        <v>253.41000000000003</v>
      </c>
    </row>
    <row r="10" spans="2:64" x14ac:dyDescent="0.25">
      <c r="B10" s="4" t="s">
        <v>181</v>
      </c>
      <c r="C10" s="6">
        <v>10355.89</v>
      </c>
      <c r="D10" s="6">
        <v>14239.58</v>
      </c>
      <c r="K10" s="6"/>
      <c r="L10" s="6"/>
      <c r="M10" s="21" t="s">
        <v>109</v>
      </c>
      <c r="N10" s="6">
        <v>6186.83</v>
      </c>
      <c r="O10" s="6"/>
      <c r="P10" s="6">
        <v>143.57999999999998</v>
      </c>
      <c r="Q10" s="6"/>
      <c r="R10" s="6"/>
      <c r="S10" s="6"/>
      <c r="T10" s="6"/>
      <c r="U10" s="6"/>
      <c r="V10" s="6">
        <v>6330.41</v>
      </c>
      <c r="W10" s="6"/>
      <c r="X10" s="6"/>
      <c r="Z10" s="21" t="s">
        <v>109</v>
      </c>
      <c r="AA10" s="6"/>
      <c r="AB10" s="6">
        <v>589.65</v>
      </c>
      <c r="AC10" s="6"/>
      <c r="AD10" s="6">
        <v>9.99</v>
      </c>
      <c r="AE10" s="6">
        <v>993.44999999999993</v>
      </c>
      <c r="AF10" s="6">
        <v>261.16999999999996</v>
      </c>
      <c r="AG10" s="6">
        <v>673.38</v>
      </c>
      <c r="AH10" s="6">
        <v>1613.74</v>
      </c>
      <c r="AI10" s="6">
        <v>227</v>
      </c>
      <c r="AJ10" s="6"/>
      <c r="AK10" s="6"/>
      <c r="AL10" s="6">
        <v>326.89</v>
      </c>
      <c r="AM10" s="6"/>
      <c r="AN10" s="6"/>
      <c r="AO10" s="6">
        <v>4695.2700000000004</v>
      </c>
      <c r="AP10" s="6"/>
      <c r="AQ10" s="6"/>
      <c r="AR10" s="6"/>
      <c r="AS10" s="6"/>
      <c r="AT10" s="6"/>
      <c r="AU10" s="6"/>
      <c r="AV10" s="6"/>
      <c r="AW10" s="4" t="s">
        <v>181</v>
      </c>
      <c r="AX10" s="6">
        <v>-3883.6899999999969</v>
      </c>
      <c r="AY10" s="6"/>
      <c r="BG10" s="4" t="s">
        <v>59</v>
      </c>
      <c r="BH10" s="6">
        <v>8.99</v>
      </c>
      <c r="BK10" s="4" t="s">
        <v>33</v>
      </c>
      <c r="BL10" s="6">
        <v>5327.5199999999986</v>
      </c>
    </row>
    <row r="11" spans="2:64" x14ac:dyDescent="0.25">
      <c r="B11" s="21" t="s">
        <v>120</v>
      </c>
      <c r="C11" s="6">
        <v>7247.99</v>
      </c>
      <c r="D11" s="6">
        <v>6442.82</v>
      </c>
      <c r="K11" s="6"/>
      <c r="L11" s="6"/>
      <c r="M11" s="4" t="s">
        <v>181</v>
      </c>
      <c r="N11" s="6">
        <v>5208.1499999999996</v>
      </c>
      <c r="O11" s="6">
        <v>1809.1</v>
      </c>
      <c r="P11" s="6">
        <v>757.01</v>
      </c>
      <c r="Q11" s="6"/>
      <c r="R11" s="6"/>
      <c r="S11" s="6">
        <v>1500</v>
      </c>
      <c r="T11" s="6">
        <v>135.28</v>
      </c>
      <c r="U11" s="6">
        <v>924</v>
      </c>
      <c r="V11" s="6">
        <v>10333.539999999999</v>
      </c>
      <c r="W11" s="6"/>
      <c r="X11" s="6"/>
      <c r="Z11" s="4" t="s">
        <v>181</v>
      </c>
      <c r="AA11" s="6"/>
      <c r="AB11" s="6">
        <v>3566.4400000000005</v>
      </c>
      <c r="AC11" s="6">
        <v>1070</v>
      </c>
      <c r="AD11" s="6">
        <v>203.45999999999998</v>
      </c>
      <c r="AE11" s="6">
        <v>2044.78</v>
      </c>
      <c r="AF11" s="6">
        <v>584.99</v>
      </c>
      <c r="AG11" s="6">
        <v>462.57</v>
      </c>
      <c r="AH11" s="6">
        <v>2350.3000000000002</v>
      </c>
      <c r="AI11" s="6"/>
      <c r="AJ11" s="6"/>
      <c r="AK11" s="6"/>
      <c r="AL11" s="6"/>
      <c r="AM11" s="6">
        <v>359.8</v>
      </c>
      <c r="AN11" s="6">
        <v>120</v>
      </c>
      <c r="AO11" s="6">
        <v>10762.34</v>
      </c>
      <c r="AP11" s="6"/>
      <c r="AQ11" s="6"/>
      <c r="AR11" s="6"/>
      <c r="AS11" s="6"/>
      <c r="AT11" s="6"/>
      <c r="AU11" s="6"/>
      <c r="AV11" s="6"/>
      <c r="AW11" s="21" t="s">
        <v>120</v>
      </c>
      <c r="AX11" s="6">
        <v>805.17000000000007</v>
      </c>
      <c r="AY11" s="6">
        <v>805.17000000000007</v>
      </c>
      <c r="BG11" s="4" t="s">
        <v>141</v>
      </c>
      <c r="BH11" s="6">
        <v>1500</v>
      </c>
      <c r="BK11" s="4" t="s">
        <v>35</v>
      </c>
      <c r="BL11" s="6">
        <v>2463.88</v>
      </c>
    </row>
    <row r="12" spans="2:64" x14ac:dyDescent="0.25">
      <c r="B12" s="21" t="s">
        <v>179</v>
      </c>
      <c r="C12" s="6">
        <v>3107.9</v>
      </c>
      <c r="D12" s="6">
        <v>7796.76</v>
      </c>
      <c r="K12" s="6"/>
      <c r="L12" s="6"/>
      <c r="M12" s="21" t="s">
        <v>120</v>
      </c>
      <c r="N12" s="6">
        <v>5208.1499999999996</v>
      </c>
      <c r="O12" s="6"/>
      <c r="P12" s="6">
        <v>387.01</v>
      </c>
      <c r="Q12" s="6"/>
      <c r="R12" s="6"/>
      <c r="S12" s="6">
        <v>1500</v>
      </c>
      <c r="T12" s="6">
        <v>135.28</v>
      </c>
      <c r="U12" s="6"/>
      <c r="V12" s="6">
        <v>7230.44</v>
      </c>
      <c r="W12" s="6"/>
      <c r="X12" s="6"/>
      <c r="Z12" s="21" t="s">
        <v>120</v>
      </c>
      <c r="AA12" s="6"/>
      <c r="AB12" s="6">
        <v>1292.92</v>
      </c>
      <c r="AC12" s="6">
        <v>360</v>
      </c>
      <c r="AD12" s="6">
        <v>103.47999999999999</v>
      </c>
      <c r="AE12" s="6">
        <v>1037.51</v>
      </c>
      <c r="AF12" s="6">
        <v>324.12</v>
      </c>
      <c r="AG12" s="6">
        <v>422.59</v>
      </c>
      <c r="AH12" s="6">
        <v>2350.3000000000002</v>
      </c>
      <c r="AI12" s="6"/>
      <c r="AJ12" s="6"/>
      <c r="AK12" s="6"/>
      <c r="AL12" s="6"/>
      <c r="AM12" s="6">
        <v>179.9</v>
      </c>
      <c r="AN12" s="6">
        <v>120</v>
      </c>
      <c r="AO12" s="6">
        <v>6190.82</v>
      </c>
      <c r="AW12" s="21" t="s">
        <v>179</v>
      </c>
      <c r="AX12" s="6">
        <v>-4688.8600000000006</v>
      </c>
      <c r="AY12" s="6">
        <v>-3883.6900000000005</v>
      </c>
      <c r="BG12" s="4" t="s">
        <v>143</v>
      </c>
      <c r="BH12" s="6">
        <v>135.28</v>
      </c>
      <c r="BK12" s="4" t="s">
        <v>46</v>
      </c>
      <c r="BL12" s="6">
        <v>2229.9600000000005</v>
      </c>
    </row>
    <row r="13" spans="2:64" x14ac:dyDescent="0.25">
      <c r="B13" s="4" t="s">
        <v>10</v>
      </c>
      <c r="C13" s="6">
        <v>42411.64</v>
      </c>
      <c r="D13" s="6">
        <v>42857.89</v>
      </c>
      <c r="K13" s="6"/>
      <c r="L13" s="6"/>
      <c r="M13" s="21" t="s">
        <v>179</v>
      </c>
      <c r="N13" s="6"/>
      <c r="O13" s="6">
        <v>1809.1</v>
      </c>
      <c r="P13" s="6">
        <v>370</v>
      </c>
      <c r="Q13" s="6"/>
      <c r="R13" s="6"/>
      <c r="S13" s="6"/>
      <c r="T13" s="6"/>
      <c r="U13" s="6">
        <v>924</v>
      </c>
      <c r="V13" s="6">
        <v>3103.1</v>
      </c>
      <c r="Z13" s="21" t="s">
        <v>179</v>
      </c>
      <c r="AA13" s="6"/>
      <c r="AB13" s="6">
        <v>2273.5200000000004</v>
      </c>
      <c r="AC13" s="6">
        <v>710</v>
      </c>
      <c r="AD13" s="6">
        <v>99.97999999999999</v>
      </c>
      <c r="AE13" s="6">
        <v>1007.27</v>
      </c>
      <c r="AF13" s="6">
        <v>260.87</v>
      </c>
      <c r="AG13" s="6">
        <v>39.979999999999997</v>
      </c>
      <c r="AH13" s="6"/>
      <c r="AI13" s="6"/>
      <c r="AJ13" s="6"/>
      <c r="AK13" s="6"/>
      <c r="AL13" s="6"/>
      <c r="AM13" s="6">
        <v>179.9</v>
      </c>
      <c r="AN13" s="6"/>
      <c r="AO13" s="6">
        <v>4571.5199999999995</v>
      </c>
      <c r="AW13" s="4" t="s">
        <v>10</v>
      </c>
      <c r="AX13" s="6">
        <v>-446.25</v>
      </c>
      <c r="AY13" s="6"/>
      <c r="BG13" s="4" t="s">
        <v>165</v>
      </c>
      <c r="BH13" s="6">
        <v>924</v>
      </c>
      <c r="BK13" s="4" t="s">
        <v>56</v>
      </c>
      <c r="BL13" s="6">
        <v>8320.14</v>
      </c>
    </row>
    <row r="14" spans="2:64" x14ac:dyDescent="0.25">
      <c r="K14" s="6"/>
      <c r="L14" s="6"/>
      <c r="M14" s="4" t="s">
        <v>10</v>
      </c>
      <c r="N14" s="6">
        <v>32457.25</v>
      </c>
      <c r="O14" s="6">
        <v>1809.1</v>
      </c>
      <c r="P14" s="6">
        <v>1754.73</v>
      </c>
      <c r="Q14" s="6">
        <v>3771.76</v>
      </c>
      <c r="R14" s="6">
        <v>8.99</v>
      </c>
      <c r="S14" s="6">
        <v>1500</v>
      </c>
      <c r="T14" s="6">
        <v>135.28</v>
      </c>
      <c r="U14" s="6">
        <v>924</v>
      </c>
      <c r="V14" s="6">
        <v>42361.11</v>
      </c>
      <c r="Z14" s="4" t="s">
        <v>10</v>
      </c>
      <c r="AA14" s="6">
        <v>500</v>
      </c>
      <c r="AB14" s="6">
        <v>6930.7000000000007</v>
      </c>
      <c r="AC14" s="6">
        <v>1641</v>
      </c>
      <c r="AD14" s="6">
        <v>253.41</v>
      </c>
      <c r="AE14" s="6">
        <v>5327.52</v>
      </c>
      <c r="AF14" s="6">
        <v>2463.8799999999997</v>
      </c>
      <c r="AG14" s="6">
        <v>2229.96</v>
      </c>
      <c r="AH14" s="6">
        <v>8320.14</v>
      </c>
      <c r="AI14" s="6">
        <v>307</v>
      </c>
      <c r="AJ14" s="6">
        <v>359.32</v>
      </c>
      <c r="AK14" s="6">
        <v>253.03</v>
      </c>
      <c r="AL14" s="6">
        <v>326.89</v>
      </c>
      <c r="AM14" s="6">
        <v>359.8</v>
      </c>
      <c r="AN14" s="6">
        <v>120</v>
      </c>
      <c r="AO14" s="6">
        <v>29392.649999999998</v>
      </c>
      <c r="BG14" s="4" t="s">
        <v>10</v>
      </c>
      <c r="BH14" s="6">
        <v>42361.11</v>
      </c>
      <c r="BK14" s="4" t="s">
        <v>78</v>
      </c>
      <c r="BL14" s="6">
        <v>307</v>
      </c>
    </row>
    <row r="15" spans="2:64" x14ac:dyDescent="0.25">
      <c r="K15" s="6"/>
      <c r="L15" s="6"/>
      <c r="BK15" s="4" t="s">
        <v>81</v>
      </c>
      <c r="BL15" s="6">
        <v>359.32</v>
      </c>
    </row>
    <row r="16" spans="2:64" x14ac:dyDescent="0.25">
      <c r="BK16" s="4" t="s">
        <v>88</v>
      </c>
      <c r="BL16" s="6">
        <v>253.03</v>
      </c>
    </row>
    <row r="17" spans="63:64" x14ac:dyDescent="0.25">
      <c r="BK17" s="4" t="s">
        <v>111</v>
      </c>
      <c r="BL17" s="6">
        <v>326.89</v>
      </c>
    </row>
    <row r="18" spans="63:64" x14ac:dyDescent="0.25">
      <c r="BK18" s="4" t="s">
        <v>131</v>
      </c>
      <c r="BL18" s="6">
        <v>359.8</v>
      </c>
    </row>
    <row r="19" spans="63:64" x14ac:dyDescent="0.25">
      <c r="BK19" s="4" t="s">
        <v>145</v>
      </c>
      <c r="BL19" s="6">
        <v>120</v>
      </c>
    </row>
    <row r="20" spans="63:64" x14ac:dyDescent="0.25">
      <c r="BK20" s="4" t="s">
        <v>10</v>
      </c>
      <c r="BL20" s="6">
        <v>29392.649999999994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3A2C-BA77-49BE-8638-EFE321B0F198}">
  <sheetPr codeName="Planilha3"/>
  <dimension ref="B1:T265"/>
  <sheetViews>
    <sheetView showGridLines="0" tabSelected="1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3" sqref="N3:N265"/>
    </sheetView>
  </sheetViews>
  <sheetFormatPr defaultColWidth="8.85546875" defaultRowHeight="15" x14ac:dyDescent="0.25"/>
  <cols>
    <col min="1" max="1" width="3.85546875" style="1" customWidth="1"/>
    <col min="2" max="4" width="19" style="2" customWidth="1"/>
    <col min="5" max="5" width="25" style="1" bestFit="1" customWidth="1"/>
    <col min="6" max="7" width="19" style="1" customWidth="1"/>
    <col min="8" max="8" width="43.7109375" style="1" bestFit="1" customWidth="1"/>
    <col min="9" max="10" width="43.7109375" style="1" customWidth="1"/>
    <col min="11" max="12" width="19" style="14" customWidth="1"/>
    <col min="13" max="17" width="8.85546875" style="1"/>
    <col min="18" max="18" width="27.140625" style="1" bestFit="1" customWidth="1"/>
    <col min="19" max="19" width="12.85546875" style="1" bestFit="1" customWidth="1"/>
    <col min="20" max="20" width="19.42578125" style="1" bestFit="1" customWidth="1"/>
    <col min="21" max="16384" width="8.85546875" style="1"/>
  </cols>
  <sheetData>
    <row r="1" spans="2:20" ht="142.5" customHeight="1" x14ac:dyDescent="0.25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2:20" x14ac:dyDescent="0.25">
      <c r="B2" s="2" t="s">
        <v>0</v>
      </c>
      <c r="C2" s="2" t="s">
        <v>6</v>
      </c>
      <c r="D2" s="2" t="s">
        <v>180</v>
      </c>
      <c r="E2" s="1" t="s">
        <v>1</v>
      </c>
      <c r="F2" s="1" t="s">
        <v>3</v>
      </c>
      <c r="G2" s="1" t="s">
        <v>2</v>
      </c>
      <c r="H2" s="1" t="s">
        <v>186</v>
      </c>
      <c r="I2" s="1" t="s">
        <v>188</v>
      </c>
      <c r="J2" s="1" t="s">
        <v>187</v>
      </c>
      <c r="K2" s="14" t="s">
        <v>5</v>
      </c>
      <c r="L2" s="14" t="s">
        <v>183</v>
      </c>
      <c r="R2" s="1" t="str" cm="1">
        <f t="array" ref="R2:T135">_xlfn.UNIQUE(LANÇAMENTOS[[#All],[Descrição]:[Categoria]])</f>
        <v>Descrição</v>
      </c>
      <c r="S2" s="1" t="str">
        <v>Tipo</v>
      </c>
      <c r="T2" s="1" t="str">
        <v>Categoria</v>
      </c>
    </row>
    <row r="3" spans="2:20" ht="14.45" customHeight="1" x14ac:dyDescent="0.25">
      <c r="B3" s="2">
        <v>45891</v>
      </c>
      <c r="C3" s="2" t="str">
        <f>UPPER(TEXT(LANÇAMENTOS[[#This Row],[Data]],"mmm"))</f>
        <v>AGO</v>
      </c>
      <c r="D3" s="2" t="str">
        <f>UPPER(TEXT(LANÇAMENTOS[[#This Row],[Data]],"AAAA"))</f>
        <v>2025</v>
      </c>
      <c r="E3" s="1" t="s">
        <v>32</v>
      </c>
      <c r="F3" s="1" t="s">
        <v>4</v>
      </c>
      <c r="G3" s="1" t="s">
        <v>33</v>
      </c>
      <c r="H3" s="1" t="str">
        <f>LANÇAMENTOS[[#This Row],[Categoria]]&amp;"-"&amp;LANÇAMENTOS[[#This Row],[Descrição]]</f>
        <v>ALIMENTAÇÃO-Ifood</v>
      </c>
      <c r="I3" s="1" t="str">
        <f>VLOOKUP(LANÇAMENTOS[[#This Row],[Coluna1]],[1]Planilha2!$K$2:$O$130,4,0)</f>
        <v>Alimentação</v>
      </c>
      <c r="J3" s="1" t="str">
        <f>VLOOKUP(LANÇAMENTOS[[#This Row],[Coluna1]],[1]Planilha2!$K$2:$O$130,5,0)</f>
        <v>Delivery</v>
      </c>
      <c r="L3" s="14">
        <v>95.89</v>
      </c>
      <c r="N3" s="1">
        <f>IF(ISNUMBER(LANÇAMENTOS[[#This Row],[Receita]]),LANÇAMENTOS[[#This Row],[Receita]],LANÇAMENTOS[[#This Row],[Transferência]])</f>
        <v>95.89</v>
      </c>
      <c r="R3" s="1" t="str">
        <v>Ifood</v>
      </c>
      <c r="S3" s="1" t="str">
        <v>Despesa</v>
      </c>
      <c r="T3" s="1" t="str">
        <v>ALIMENTAÇÃO</v>
      </c>
    </row>
    <row r="4" spans="2:20" ht="14.45" customHeight="1" x14ac:dyDescent="0.25">
      <c r="B4" s="2">
        <v>45892</v>
      </c>
      <c r="C4" s="2" t="str">
        <f>UPPER(TEXT(LANÇAMENTOS[[#This Row],[Data]],"mmm"))</f>
        <v>AGO</v>
      </c>
      <c r="D4" s="2" t="str">
        <f>UPPER(TEXT(LANÇAMENTOS[[#This Row],[Data]],"AAAA"))</f>
        <v>2025</v>
      </c>
      <c r="E4" s="1" t="s">
        <v>32</v>
      </c>
      <c r="F4" s="1" t="s">
        <v>4</v>
      </c>
      <c r="G4" s="1" t="s">
        <v>33</v>
      </c>
      <c r="H4" s="1" t="str">
        <f>LANÇAMENTOS[[#This Row],[Categoria]]&amp;"-"&amp;LANÇAMENTOS[[#This Row],[Descrição]]</f>
        <v>ALIMENTAÇÃO-Ifood</v>
      </c>
      <c r="I4" s="1" t="str">
        <f>VLOOKUP(LANÇAMENTOS[[#This Row],[Coluna1]],[1]Planilha2!$K$2:$O$130,4,0)</f>
        <v>Alimentação</v>
      </c>
      <c r="J4" s="1" t="str">
        <f>VLOOKUP(LANÇAMENTOS[[#This Row],[Coluna1]],[1]Planilha2!$K$2:$O$130,5,0)</f>
        <v>Delivery</v>
      </c>
      <c r="L4" s="14">
        <v>131.97999999999999</v>
      </c>
      <c r="N4" s="1">
        <f>IF(ISNUMBER(LANÇAMENTOS[[#This Row],[Receita]]),LANÇAMENTOS[[#This Row],[Receita]],LANÇAMENTOS[[#This Row],[Transferência]])</f>
        <v>131.97999999999999</v>
      </c>
      <c r="R4" s="1" t="str">
        <v>Salario clt</v>
      </c>
      <c r="S4" s="1" t="str">
        <v>Receita</v>
      </c>
      <c r="T4" s="1" t="str">
        <v>SALÁRIO</v>
      </c>
    </row>
    <row r="5" spans="2:20" ht="14.45" customHeight="1" x14ac:dyDescent="0.25">
      <c r="B5" s="2">
        <v>45893</v>
      </c>
      <c r="C5" s="2" t="str">
        <f>UPPER(TEXT(LANÇAMENTOS[[#This Row],[Data]],"mmm"))</f>
        <v>AGO</v>
      </c>
      <c r="D5" s="2" t="str">
        <f>UPPER(TEXT(LANÇAMENTOS[[#This Row],[Data]],"AAAA"))</f>
        <v>2025</v>
      </c>
      <c r="E5" s="1" t="s">
        <v>32</v>
      </c>
      <c r="F5" s="1" t="s">
        <v>4</v>
      </c>
      <c r="G5" s="1" t="s">
        <v>33</v>
      </c>
      <c r="H5" s="1" t="str">
        <f>LANÇAMENTOS[[#This Row],[Categoria]]&amp;"-"&amp;LANÇAMENTOS[[#This Row],[Descrição]]</f>
        <v>ALIMENTAÇÃO-Ifood</v>
      </c>
      <c r="I5" s="1" t="str">
        <f>VLOOKUP(LANÇAMENTOS[[#This Row],[Coluna1]],[1]Planilha2!$K$2:$O$130,4,0)</f>
        <v>Alimentação</v>
      </c>
      <c r="J5" s="1" t="str">
        <f>VLOOKUP(LANÇAMENTOS[[#This Row],[Coluna1]],[1]Planilha2!$K$2:$O$130,5,0)</f>
        <v>Delivery</v>
      </c>
      <c r="L5" s="14">
        <v>172.98</v>
      </c>
      <c r="N5" s="1">
        <f>IF(ISNUMBER(LANÇAMENTOS[[#This Row],[Receita]]),LANÇAMENTOS[[#This Row],[Receita]],LANÇAMENTOS[[#This Row],[Transferência]])</f>
        <v>172.98</v>
      </c>
      <c r="R5" s="1" t="str">
        <v>prev privada</v>
      </c>
      <c r="S5" s="1" t="str">
        <v>investimento</v>
      </c>
      <c r="T5" s="1" t="str">
        <v>PREV. PRIVADA</v>
      </c>
    </row>
    <row r="6" spans="2:20" ht="14.45" customHeight="1" x14ac:dyDescent="0.25">
      <c r="B6" s="2">
        <v>45897</v>
      </c>
      <c r="C6" s="2" t="str">
        <f>UPPER(TEXT(LANÇAMENTOS[[#This Row],[Data]],"mmm"))</f>
        <v>AGO</v>
      </c>
      <c r="D6" s="2" t="str">
        <f>UPPER(TEXT(LANÇAMENTOS[[#This Row],[Data]],"AAAA"))</f>
        <v>2025</v>
      </c>
      <c r="E6" s="1" t="s">
        <v>18</v>
      </c>
      <c r="F6" s="1" t="s">
        <v>5</v>
      </c>
      <c r="G6" s="1" t="s">
        <v>25</v>
      </c>
      <c r="H6" s="1" t="str">
        <f>LANÇAMENTOS[[#This Row],[Categoria]]&amp;"-"&amp;LANÇAMENTOS[[#This Row],[Descrição]]</f>
        <v>SALÁRIO-Salario clt</v>
      </c>
      <c r="I6" s="1" t="str">
        <f>VLOOKUP(LANÇAMENTOS[[#This Row],[Coluna1]],[1]Planilha2!$K$2:$O$130,4,0)</f>
        <v>Profissional</v>
      </c>
      <c r="J6" s="1" t="str">
        <f>VLOOKUP(LANÇAMENTOS[[#This Row],[Coluna1]],[1]Planilha2!$K$2:$O$130,5,0)</f>
        <v>Salário</v>
      </c>
      <c r="K6" s="14">
        <v>4320.2299999999996</v>
      </c>
      <c r="N6" s="1">
        <f>IF(ISNUMBER(LANÇAMENTOS[[#This Row],[Receita]]),LANÇAMENTOS[[#This Row],[Receita]],LANÇAMENTOS[[#This Row],[Transferência]])</f>
        <v>4320.2299999999996</v>
      </c>
      <c r="R6" s="1" t="str">
        <v>Concerto carro</v>
      </c>
      <c r="S6" s="1" t="str">
        <v>Despesa</v>
      </c>
      <c r="T6" s="1" t="str">
        <v>TRANSPORTE</v>
      </c>
    </row>
    <row r="7" spans="2:20" x14ac:dyDescent="0.25">
      <c r="B7" s="2">
        <v>45897</v>
      </c>
      <c r="C7" s="2" t="str">
        <f>UPPER(TEXT(LANÇAMENTOS[[#This Row],[Data]],"mmm"))</f>
        <v>AGO</v>
      </c>
      <c r="D7" s="2" t="str">
        <f>UPPER(TEXT(LANÇAMENTOS[[#This Row],[Data]],"AAAA"))</f>
        <v>2025</v>
      </c>
      <c r="E7" s="1" t="s">
        <v>19</v>
      </c>
      <c r="F7" s="1" t="s">
        <v>20</v>
      </c>
      <c r="G7" s="1" t="s">
        <v>21</v>
      </c>
      <c r="H7" s="1" t="str">
        <f>LANÇAMENTOS[[#This Row],[Categoria]]&amp;"-"&amp;LANÇAMENTOS[[#This Row],[Descrição]]</f>
        <v>PREV. PRIVADA-prev privada</v>
      </c>
      <c r="I7" s="1" t="str">
        <f>VLOOKUP(LANÇAMENTOS[[#This Row],[Coluna1]],[1]Planilha2!$K$2:$O$130,4,0)</f>
        <v>Investimentos</v>
      </c>
      <c r="J7" s="1" t="str">
        <f>VLOOKUP(LANÇAMENTOS[[#This Row],[Coluna1]],[1]Planilha2!$K$2:$O$130,5,0)</f>
        <v>Previdência Privada</v>
      </c>
      <c r="L7" s="14">
        <v>238.46</v>
      </c>
      <c r="N7" s="1">
        <f>IF(ISNUMBER(LANÇAMENTOS[[#This Row],[Receita]]),LANÇAMENTOS[[#This Row],[Receita]],LANÇAMENTOS[[#This Row],[Transferência]])</f>
        <v>238.46</v>
      </c>
      <c r="R7" s="1" t="str">
        <v>curso</v>
      </c>
      <c r="S7" s="1" t="str">
        <v>Despesa</v>
      </c>
      <c r="T7" s="1" t="str">
        <v>EDUCAÇÃO</v>
      </c>
    </row>
    <row r="8" spans="2:20" x14ac:dyDescent="0.25">
      <c r="B8" s="2">
        <v>45897</v>
      </c>
      <c r="C8" s="2" t="str">
        <f>UPPER(TEXT(LANÇAMENTOS[[#This Row],[Data]],"mmm"))</f>
        <v>AGO</v>
      </c>
      <c r="D8" s="2" t="str">
        <f>UPPER(TEXT(LANÇAMENTOS[[#This Row],[Data]],"AAAA"))</f>
        <v>2025</v>
      </c>
      <c r="E8" s="1" t="s">
        <v>22</v>
      </c>
      <c r="F8" s="1" t="s">
        <v>4</v>
      </c>
      <c r="G8" s="1" t="s">
        <v>35</v>
      </c>
      <c r="H8" s="1" t="str">
        <f>LANÇAMENTOS[[#This Row],[Categoria]]&amp;"-"&amp;LANÇAMENTOS[[#This Row],[Descrição]]</f>
        <v>TRANSPORTE-Concerto carro</v>
      </c>
      <c r="I8" s="1" t="str">
        <f>VLOOKUP(LANÇAMENTOS[[#This Row],[Coluna1]],[1]Planilha2!$K$2:$O$130,4,0)</f>
        <v>Transporte</v>
      </c>
      <c r="J8" s="1" t="str">
        <f>VLOOKUP(LANÇAMENTOS[[#This Row],[Coluna1]],[1]Planilha2!$K$2:$O$130,5,0)</f>
        <v>Manutenção do carro</v>
      </c>
      <c r="L8" s="14">
        <v>600</v>
      </c>
      <c r="N8" s="1">
        <f>IF(ISNUMBER(LANÇAMENTOS[[#This Row],[Receita]]),LANÇAMENTOS[[#This Row],[Receita]],LANÇAMENTOS[[#This Row],[Transferência]])</f>
        <v>600</v>
      </c>
      <c r="R8" s="1" t="str">
        <v xml:space="preserve">PIX </v>
      </c>
      <c r="S8" s="1" t="str">
        <v>Despesa</v>
      </c>
      <c r="T8" s="1" t="str">
        <v>LAZER</v>
      </c>
    </row>
    <row r="9" spans="2:20" x14ac:dyDescent="0.25">
      <c r="B9" s="2">
        <v>45897</v>
      </c>
      <c r="C9" s="2" t="str">
        <f>UPPER(TEXT(LANÇAMENTOS[[#This Row],[Data]],"mmm"))</f>
        <v>AGO</v>
      </c>
      <c r="D9" s="2" t="str">
        <f>UPPER(TEXT(LANÇAMENTOS[[#This Row],[Data]],"AAAA"))</f>
        <v>2025</v>
      </c>
      <c r="E9" s="1" t="s">
        <v>23</v>
      </c>
      <c r="F9" s="1" t="s">
        <v>4</v>
      </c>
      <c r="G9" s="1" t="s">
        <v>24</v>
      </c>
      <c r="H9" s="1" t="str">
        <f>LANÇAMENTOS[[#This Row],[Categoria]]&amp;"-"&amp;LANÇAMENTOS[[#This Row],[Descrição]]</f>
        <v>EDUCAÇÃO-curso</v>
      </c>
      <c r="I9" s="1" t="str">
        <f>VLOOKUP(LANÇAMENTOS[[#This Row],[Coluna1]],[1]Planilha2!$K$2:$O$130,4,0)</f>
        <v>Desenvolvimento</v>
      </c>
      <c r="J9" s="1" t="str">
        <f>VLOOKUP(LANÇAMENTOS[[#This Row],[Coluna1]],[1]Planilha2!$K$2:$O$130,5,0)</f>
        <v>Cursos</v>
      </c>
      <c r="L9" s="14">
        <v>500</v>
      </c>
      <c r="N9" s="1">
        <f>IF(ISNUMBER(LANÇAMENTOS[[#This Row],[Receita]]),LANÇAMENTOS[[#This Row],[Receita]],LANÇAMENTOS[[#This Row],[Transferência]])</f>
        <v>500</v>
      </c>
      <c r="R9" s="1" t="str">
        <v xml:space="preserve">PIX </v>
      </c>
      <c r="S9" s="1" t="str">
        <v>Receita</v>
      </c>
      <c r="T9" s="1" t="str">
        <v>PIX ROLE</v>
      </c>
    </row>
    <row r="10" spans="2:20" x14ac:dyDescent="0.25">
      <c r="B10" s="2">
        <v>45897</v>
      </c>
      <c r="C10" s="2" t="str">
        <f>UPPER(TEXT(LANÇAMENTOS[[#This Row],[Data]],"mmm"))</f>
        <v>AGO</v>
      </c>
      <c r="D10" s="2" t="str">
        <f>UPPER(TEXT(LANÇAMENTOS[[#This Row],[Data]],"AAAA"))</f>
        <v>2025</v>
      </c>
      <c r="E10" s="1" t="s">
        <v>26</v>
      </c>
      <c r="F10" s="1" t="s">
        <v>4</v>
      </c>
      <c r="G10" s="1" t="s">
        <v>27</v>
      </c>
      <c r="H10" s="1" t="str">
        <f>LANÇAMENTOS[[#This Row],[Categoria]]&amp;"-"&amp;LANÇAMENTOS[[#This Row],[Descrição]]</f>
        <v xml:space="preserve">LAZER-PIX </v>
      </c>
      <c r="I10" s="1" t="str">
        <f>VLOOKUP(LANÇAMENTOS[[#This Row],[Coluna1]],[1]Planilha2!$K$2:$O$130,4,0)</f>
        <v>Lazer</v>
      </c>
      <c r="J10" s="1" t="str">
        <f>VLOOKUP(LANÇAMENTOS[[#This Row],[Coluna1]],[1]Planilha2!$K$2:$O$130,5,0)</f>
        <v>Pix</v>
      </c>
      <c r="L10" s="14">
        <v>123</v>
      </c>
      <c r="N10" s="1">
        <f>IF(ISNUMBER(LANÇAMENTOS[[#This Row],[Receita]]),LANÇAMENTOS[[#This Row],[Receita]],LANÇAMENTOS[[#This Row],[Transferência]])</f>
        <v>123</v>
      </c>
      <c r="R10" s="1" t="str">
        <v>uber</v>
      </c>
      <c r="S10" s="1" t="str">
        <v>Despesa</v>
      </c>
      <c r="T10" s="1" t="str">
        <v>TRANSPORTE</v>
      </c>
    </row>
    <row r="11" spans="2:20" x14ac:dyDescent="0.25">
      <c r="B11" s="2">
        <v>45898</v>
      </c>
      <c r="C11" s="2" t="str">
        <f>UPPER(TEXT(LANÇAMENTOS[[#This Row],[Data]],"mmm"))</f>
        <v>AGO</v>
      </c>
      <c r="D11" s="2" t="str">
        <f>UPPER(TEXT(LANÇAMENTOS[[#This Row],[Data]],"AAAA"))</f>
        <v>2025</v>
      </c>
      <c r="E11" s="1" t="s">
        <v>26</v>
      </c>
      <c r="F11" s="1" t="s">
        <v>5</v>
      </c>
      <c r="G11" s="1" t="s">
        <v>28</v>
      </c>
      <c r="H11" s="1" t="str">
        <f>LANÇAMENTOS[[#This Row],[Categoria]]&amp;"-"&amp;LANÇAMENTOS[[#This Row],[Descrição]]</f>
        <v xml:space="preserve">PIX ROLE-PIX </v>
      </c>
      <c r="I11" s="1" t="str">
        <f>VLOOKUP(LANÇAMENTOS[[#This Row],[Coluna1]],[1]Planilha2!$K$2:$O$130,4,0)</f>
        <v>Lazer</v>
      </c>
      <c r="J11" s="1" t="str">
        <f>VLOOKUP(LANÇAMENTOS[[#This Row],[Coluna1]],[1]Planilha2!$K$2:$O$130,5,0)</f>
        <v>Role</v>
      </c>
      <c r="K11" s="14">
        <v>32</v>
      </c>
      <c r="N11" s="1">
        <f>IF(ISNUMBER(LANÇAMENTOS[[#This Row],[Receita]]),LANÇAMENTOS[[#This Row],[Receita]],LANÇAMENTOS[[#This Row],[Transferência]])</f>
        <v>32</v>
      </c>
      <c r="R11" s="1" t="str">
        <v>Caldo de cana</v>
      </c>
      <c r="S11" s="1" t="str">
        <v>Despesa</v>
      </c>
      <c r="T11" s="1" t="str">
        <v>ALIMENTAÇÃO</v>
      </c>
    </row>
    <row r="12" spans="2:20" x14ac:dyDescent="0.25">
      <c r="B12" s="2">
        <v>45899</v>
      </c>
      <c r="C12" s="2" t="str">
        <f>UPPER(TEXT(LANÇAMENTOS[[#This Row],[Data]],"mmm"))</f>
        <v>AGO</v>
      </c>
      <c r="D12" s="2" t="str">
        <f>UPPER(TEXT(LANÇAMENTOS[[#This Row],[Data]],"AAAA"))</f>
        <v>2025</v>
      </c>
      <c r="E12" s="1" t="s">
        <v>34</v>
      </c>
      <c r="F12" s="1" t="s">
        <v>4</v>
      </c>
      <c r="G12" s="1" t="s">
        <v>35</v>
      </c>
      <c r="H12" s="1" t="str">
        <f>LANÇAMENTOS[[#This Row],[Categoria]]&amp;"-"&amp;LANÇAMENTOS[[#This Row],[Descrição]]</f>
        <v>TRANSPORTE-uber</v>
      </c>
      <c r="I12" s="1" t="str">
        <f>VLOOKUP(LANÇAMENTOS[[#This Row],[Coluna1]],[1]Planilha2!$K$2:$O$130,4,0)</f>
        <v>Transporte</v>
      </c>
      <c r="J12" s="1" t="str">
        <f>VLOOKUP(LANÇAMENTOS[[#This Row],[Coluna1]],[1]Planilha2!$K$2:$O$130,5,0)</f>
        <v>Uber/táxi</v>
      </c>
      <c r="L12" s="14">
        <v>16.920000000000002</v>
      </c>
      <c r="N12" s="1">
        <f>IF(ISNUMBER(LANÇAMENTOS[[#This Row],[Receita]]),LANÇAMENTOS[[#This Row],[Receita]],LANÇAMENTOS[[#This Row],[Transferência]])</f>
        <v>16.920000000000002</v>
      </c>
      <c r="R12" s="1" t="str">
        <v>pastel</v>
      </c>
      <c r="S12" s="1" t="str">
        <v>Despesa</v>
      </c>
      <c r="T12" s="1" t="str">
        <v>ALIMENTAÇÃO</v>
      </c>
    </row>
    <row r="13" spans="2:20" x14ac:dyDescent="0.25">
      <c r="B13" s="2">
        <v>45899</v>
      </c>
      <c r="C13" s="2" t="str">
        <f>UPPER(TEXT(LANÇAMENTOS[[#This Row],[Data]],"mmm"))</f>
        <v>AGO</v>
      </c>
      <c r="D13" s="2" t="str">
        <f>UPPER(TEXT(LANÇAMENTOS[[#This Row],[Data]],"AAAA"))</f>
        <v>2025</v>
      </c>
      <c r="E13" s="1" t="s">
        <v>36</v>
      </c>
      <c r="F13" s="1" t="s">
        <v>4</v>
      </c>
      <c r="G13" s="1" t="s">
        <v>33</v>
      </c>
      <c r="H13" s="1" t="str">
        <f>LANÇAMENTOS[[#This Row],[Categoria]]&amp;"-"&amp;LANÇAMENTOS[[#This Row],[Descrição]]</f>
        <v>ALIMENTAÇÃO-Caldo de cana</v>
      </c>
      <c r="I13" s="1" t="str">
        <f>VLOOKUP(LANÇAMENTOS[[#This Row],[Coluna1]],[1]Planilha2!$K$2:$O$130,4,0)</f>
        <v>Alimentação</v>
      </c>
      <c r="J13" s="1" t="str">
        <f>VLOOKUP(LANÇAMENTOS[[#This Row],[Coluna1]],[1]Planilha2!$K$2:$O$130,5,0)</f>
        <v>Feira</v>
      </c>
      <c r="L13" s="14">
        <v>34</v>
      </c>
      <c r="N13" s="1">
        <f>IF(ISNUMBER(LANÇAMENTOS[[#This Row],[Receita]]),LANÇAMENTOS[[#This Row],[Receita]],LANÇAMENTOS[[#This Row],[Transferência]])</f>
        <v>34</v>
      </c>
      <c r="R13" s="1" t="str">
        <v>cerveja</v>
      </c>
      <c r="S13" s="1" t="str">
        <v>Despesa</v>
      </c>
      <c r="T13" s="1" t="str">
        <v>LAZER</v>
      </c>
    </row>
    <row r="14" spans="2:20" x14ac:dyDescent="0.25">
      <c r="B14" s="2">
        <v>45899</v>
      </c>
      <c r="C14" s="2" t="str">
        <f>UPPER(TEXT(LANÇAMENTOS[[#This Row],[Data]],"mmm"))</f>
        <v>AGO</v>
      </c>
      <c r="D14" s="2" t="str">
        <f>UPPER(TEXT(LANÇAMENTOS[[#This Row],[Data]],"AAAA"))</f>
        <v>2025</v>
      </c>
      <c r="E14" s="1" t="s">
        <v>37</v>
      </c>
      <c r="F14" s="1" t="s">
        <v>4</v>
      </c>
      <c r="G14" s="1" t="s">
        <v>33</v>
      </c>
      <c r="H14" s="1" t="str">
        <f>LANÇAMENTOS[[#This Row],[Categoria]]&amp;"-"&amp;LANÇAMENTOS[[#This Row],[Descrição]]</f>
        <v>ALIMENTAÇÃO-pastel</v>
      </c>
      <c r="I14" s="1" t="str">
        <f>VLOOKUP(LANÇAMENTOS[[#This Row],[Coluna1]],[1]Planilha2!$K$2:$O$130,4,0)</f>
        <v>Alimentação</v>
      </c>
      <c r="J14" s="1" t="str">
        <f>VLOOKUP(LANÇAMENTOS[[#This Row],[Coluna1]],[1]Planilha2!$K$2:$O$130,5,0)</f>
        <v>Feira</v>
      </c>
      <c r="L14" s="14">
        <v>22</v>
      </c>
      <c r="N14" s="1">
        <f>IF(ISNUMBER(LANÇAMENTOS[[#This Row],[Receita]]),LANÇAMENTOS[[#This Row],[Receita]],LANÇAMENTOS[[#This Row],[Transferência]])</f>
        <v>22</v>
      </c>
      <c r="R14" s="1" t="str">
        <v>c do padre</v>
      </c>
      <c r="S14" s="1" t="str">
        <v>Despesa</v>
      </c>
      <c r="T14" s="1" t="str">
        <v>LAZER</v>
      </c>
    </row>
    <row r="15" spans="2:20" x14ac:dyDescent="0.25">
      <c r="B15" s="2">
        <v>45899</v>
      </c>
      <c r="C15" s="2" t="str">
        <f>UPPER(TEXT(LANÇAMENTOS[[#This Row],[Data]],"mmm"))</f>
        <v>AGO</v>
      </c>
      <c r="D15" s="2" t="str">
        <f>UPPER(TEXT(LANÇAMENTOS[[#This Row],[Data]],"AAAA"))</f>
        <v>2025</v>
      </c>
      <c r="E15" s="1" t="s">
        <v>34</v>
      </c>
      <c r="F15" s="1" t="s">
        <v>4</v>
      </c>
      <c r="G15" s="1" t="s">
        <v>35</v>
      </c>
      <c r="H15" s="1" t="str">
        <f>LANÇAMENTOS[[#This Row],[Categoria]]&amp;"-"&amp;LANÇAMENTOS[[#This Row],[Descrição]]</f>
        <v>TRANSPORTE-uber</v>
      </c>
      <c r="I15" s="1" t="str">
        <f>VLOOKUP(LANÇAMENTOS[[#This Row],[Coluna1]],[1]Planilha2!$K$2:$O$130,4,0)</f>
        <v>Transporte</v>
      </c>
      <c r="J15" s="1" t="str">
        <f>VLOOKUP(LANÇAMENTOS[[#This Row],[Coluna1]],[1]Planilha2!$K$2:$O$130,5,0)</f>
        <v>Uber/táxi</v>
      </c>
      <c r="L15" s="14">
        <v>58.94</v>
      </c>
      <c r="N15" s="1">
        <f>IF(ISNUMBER(LANÇAMENTOS[[#This Row],[Receita]]),LANÇAMENTOS[[#This Row],[Receita]],LANÇAMENTOS[[#This Row],[Transferência]])</f>
        <v>58.94</v>
      </c>
      <c r="R15" s="1" t="str">
        <v>dalton pipes</v>
      </c>
      <c r="S15" s="1" t="str">
        <v>Despesa</v>
      </c>
      <c r="T15" s="1" t="str">
        <v>LAZER</v>
      </c>
    </row>
    <row r="16" spans="2:20" x14ac:dyDescent="0.25">
      <c r="B16" s="2">
        <v>45899</v>
      </c>
      <c r="C16" s="2" t="str">
        <f>UPPER(TEXT(LANÇAMENTOS[[#This Row],[Data]],"mmm"))</f>
        <v>AGO</v>
      </c>
      <c r="D16" s="2" t="str">
        <f>UPPER(TEXT(LANÇAMENTOS[[#This Row],[Data]],"AAAA"))</f>
        <v>2025</v>
      </c>
      <c r="E16" s="1" t="s">
        <v>38</v>
      </c>
      <c r="F16" s="1" t="s">
        <v>4</v>
      </c>
      <c r="G16" s="1" t="s">
        <v>27</v>
      </c>
      <c r="H16" s="1" t="str">
        <f>LANÇAMENTOS[[#This Row],[Categoria]]&amp;"-"&amp;LANÇAMENTOS[[#This Row],[Descrição]]</f>
        <v>LAZER-cerveja</v>
      </c>
      <c r="I16" s="1" t="str">
        <f>VLOOKUP(LANÇAMENTOS[[#This Row],[Coluna1]],[1]Planilha2!$K$2:$O$130,4,0)</f>
        <v>Lazer</v>
      </c>
      <c r="J16" s="1" t="str">
        <f>VLOOKUP(LANÇAMENTOS[[#This Row],[Coluna1]],[1]Planilha2!$K$2:$O$130,5,0)</f>
        <v>Bar</v>
      </c>
      <c r="L16" s="14">
        <v>15</v>
      </c>
      <c r="N16" s="1">
        <f>IF(ISNUMBER(LANÇAMENTOS[[#This Row],[Receita]]),LANÇAMENTOS[[#This Row],[Receita]],LANÇAMENTOS[[#This Row],[Transferência]])</f>
        <v>15</v>
      </c>
      <c r="R16" s="1" t="str">
        <v>seguro cartão</v>
      </c>
      <c r="S16" s="1" t="str">
        <v>Despesa</v>
      </c>
      <c r="T16" s="1" t="str">
        <v>CARTÃO</v>
      </c>
    </row>
    <row r="17" spans="2:20" x14ac:dyDescent="0.25">
      <c r="B17" s="2">
        <v>45900</v>
      </c>
      <c r="C17" s="2" t="str">
        <f>UPPER(TEXT(LANÇAMENTOS[[#This Row],[Data]],"mmm"))</f>
        <v>AGO</v>
      </c>
      <c r="D17" s="2" t="str">
        <f>UPPER(TEXT(LANÇAMENTOS[[#This Row],[Data]],"AAAA"))</f>
        <v>2025</v>
      </c>
      <c r="E17" s="1" t="s">
        <v>34</v>
      </c>
      <c r="F17" s="1" t="s">
        <v>4</v>
      </c>
      <c r="G17" s="1" t="s">
        <v>35</v>
      </c>
      <c r="H17" s="1" t="str">
        <f>LANÇAMENTOS[[#This Row],[Categoria]]&amp;"-"&amp;LANÇAMENTOS[[#This Row],[Descrição]]</f>
        <v>TRANSPORTE-uber</v>
      </c>
      <c r="I17" s="1" t="str">
        <f>VLOOKUP(LANÇAMENTOS[[#This Row],[Coluna1]],[1]Planilha2!$K$2:$O$130,4,0)</f>
        <v>Transporte</v>
      </c>
      <c r="J17" s="1" t="str">
        <f>VLOOKUP(LANÇAMENTOS[[#This Row],[Coluna1]],[1]Planilha2!$K$2:$O$130,5,0)</f>
        <v>Uber/táxi</v>
      </c>
      <c r="L17" s="14">
        <v>68.97</v>
      </c>
      <c r="N17" s="1">
        <f>IF(ISNUMBER(LANÇAMENTOS[[#This Row],[Receita]]),LANÇAMENTOS[[#This Row],[Receita]],LANÇAMENTOS[[#This Row],[Transferência]])</f>
        <v>68.97</v>
      </c>
      <c r="R17" s="1" t="str">
        <v>Gran coffee</v>
      </c>
      <c r="S17" s="1" t="str">
        <v>Despesa</v>
      </c>
      <c r="T17" s="1" t="str">
        <v>ALIMENTAÇÃO</v>
      </c>
    </row>
    <row r="18" spans="2:20" x14ac:dyDescent="0.25">
      <c r="B18" s="2">
        <v>45900</v>
      </c>
      <c r="C18" s="2" t="str">
        <f>UPPER(TEXT(LANÇAMENTOS[[#This Row],[Data]],"mmm"))</f>
        <v>AGO</v>
      </c>
      <c r="D18" s="2" t="str">
        <f>UPPER(TEXT(LANÇAMENTOS[[#This Row],[Data]],"AAAA"))</f>
        <v>2025</v>
      </c>
      <c r="E18" s="1" t="s">
        <v>39</v>
      </c>
      <c r="F18" s="1" t="s">
        <v>4</v>
      </c>
      <c r="G18" s="1" t="s">
        <v>27</v>
      </c>
      <c r="H18" s="1" t="str">
        <f>LANÇAMENTOS[[#This Row],[Categoria]]&amp;"-"&amp;LANÇAMENTOS[[#This Row],[Descrição]]</f>
        <v>LAZER-c do padre</v>
      </c>
      <c r="I18" s="1" t="str">
        <f>VLOOKUP(LANÇAMENTOS[[#This Row],[Coluna1]],[1]Planilha2!$K$2:$O$130,4,0)</f>
        <v>Lazer</v>
      </c>
      <c r="J18" s="1" t="str">
        <f>VLOOKUP(LANÇAMENTOS[[#This Row],[Coluna1]],[1]Planilha2!$K$2:$O$130,5,0)</f>
        <v>Bar</v>
      </c>
      <c r="L18" s="14">
        <v>280</v>
      </c>
      <c r="N18" s="1">
        <f>IF(ISNUMBER(LANÇAMENTOS[[#This Row],[Receita]]),LANÇAMENTOS[[#This Row],[Receita]],LANÇAMENTOS[[#This Row],[Transferência]])</f>
        <v>280</v>
      </c>
      <c r="R18" s="1" t="str">
        <v>Cinema</v>
      </c>
      <c r="S18" s="1" t="str">
        <v>Despesa</v>
      </c>
      <c r="T18" s="1" t="str">
        <v>LAZER</v>
      </c>
    </row>
    <row r="19" spans="2:20" x14ac:dyDescent="0.25">
      <c r="B19" s="2">
        <v>45901</v>
      </c>
      <c r="C19" s="2" t="str">
        <f>UPPER(TEXT(LANÇAMENTOS[[#This Row],[Data]],"mmm"))</f>
        <v>SET</v>
      </c>
      <c r="D19" s="2" t="str">
        <f>UPPER(TEXT(LANÇAMENTOS[[#This Row],[Data]],"AAAA"))</f>
        <v>2025</v>
      </c>
      <c r="E19" s="1" t="s">
        <v>26</v>
      </c>
      <c r="F19" s="1" t="s">
        <v>5</v>
      </c>
      <c r="G19" s="1" t="s">
        <v>28</v>
      </c>
      <c r="H19" s="1" t="str">
        <f>LANÇAMENTOS[[#This Row],[Categoria]]&amp;"-"&amp;LANÇAMENTOS[[#This Row],[Descrição]]</f>
        <v xml:space="preserve">PIX ROLE-PIX </v>
      </c>
      <c r="I19" s="1" t="str">
        <f>VLOOKUP(LANÇAMENTOS[[#This Row],[Coluna1]],[1]Planilha2!$K$2:$O$130,4,0)</f>
        <v>Lazer</v>
      </c>
      <c r="J19" s="1" t="str">
        <f>VLOOKUP(LANÇAMENTOS[[#This Row],[Coluna1]],[1]Planilha2!$K$2:$O$130,5,0)</f>
        <v>Role</v>
      </c>
      <c r="K19" s="14">
        <v>70</v>
      </c>
      <c r="N19" s="1">
        <f>IF(ISNUMBER(LANÇAMENTOS[[#This Row],[Receita]]),LANÇAMENTOS[[#This Row],[Receita]],LANÇAMENTOS[[#This Row],[Transferência]])</f>
        <v>70</v>
      </c>
      <c r="R19" s="1" t="str">
        <v>role</v>
      </c>
      <c r="S19" s="1" t="str">
        <v>Despesa</v>
      </c>
      <c r="T19" s="1" t="str">
        <v>LAZER</v>
      </c>
    </row>
    <row r="20" spans="2:20" x14ac:dyDescent="0.25">
      <c r="B20" s="2">
        <v>45901</v>
      </c>
      <c r="C20" s="2" t="str">
        <f>UPPER(TEXT(LANÇAMENTOS[[#This Row],[Data]],"mmm"))</f>
        <v>SET</v>
      </c>
      <c r="D20" s="2" t="str">
        <f>UPPER(TEXT(LANÇAMENTOS[[#This Row],[Data]],"AAAA"))</f>
        <v>2025</v>
      </c>
      <c r="E20" s="1" t="s">
        <v>29</v>
      </c>
      <c r="F20" s="1" t="s">
        <v>4</v>
      </c>
      <c r="G20" s="1" t="s">
        <v>27</v>
      </c>
      <c r="H20" s="1" t="str">
        <f>LANÇAMENTOS[[#This Row],[Categoria]]&amp;"-"&amp;LANÇAMENTOS[[#This Row],[Descrição]]</f>
        <v>LAZER-dalton pipes</v>
      </c>
      <c r="I20" s="1" t="str">
        <f>VLOOKUP(LANÇAMENTOS[[#This Row],[Coluna1]],[1]Planilha2!$K$2:$O$130,4,0)</f>
        <v>Lazer</v>
      </c>
      <c r="J20" s="1" t="str">
        <f>VLOOKUP(LANÇAMENTOS[[#This Row],[Coluna1]],[1]Planilha2!$K$2:$O$130,5,0)</f>
        <v>Banca</v>
      </c>
      <c r="L20" s="14">
        <v>10</v>
      </c>
      <c r="N20" s="1">
        <f>IF(ISNUMBER(LANÇAMENTOS[[#This Row],[Receita]]),LANÇAMENTOS[[#This Row],[Receita]],LANÇAMENTOS[[#This Row],[Transferência]])</f>
        <v>10</v>
      </c>
      <c r="R20" s="1" t="str">
        <v>Café</v>
      </c>
      <c r="S20" s="1" t="str">
        <v>Despesa</v>
      </c>
      <c r="T20" s="1" t="str">
        <v>ALIMENTAÇÃO</v>
      </c>
    </row>
    <row r="21" spans="2:20" x14ac:dyDescent="0.25">
      <c r="B21" s="2">
        <v>45901</v>
      </c>
      <c r="C21" s="2" t="str">
        <f>UPPER(TEXT(LANÇAMENTOS[[#This Row],[Data]],"mmm"))</f>
        <v>SET</v>
      </c>
      <c r="D21" s="2" t="str">
        <f>UPPER(TEXT(LANÇAMENTOS[[#This Row],[Data]],"AAAA"))</f>
        <v>2025</v>
      </c>
      <c r="E21" s="1" t="s">
        <v>30</v>
      </c>
      <c r="F21" s="1" t="s">
        <v>4</v>
      </c>
      <c r="G21" s="1" t="s">
        <v>31</v>
      </c>
      <c r="H21" s="1" t="str">
        <f>LANÇAMENTOS[[#This Row],[Categoria]]&amp;"-"&amp;LANÇAMENTOS[[#This Row],[Descrição]]</f>
        <v>CARTÃO-seguro cartão</v>
      </c>
      <c r="I21" s="1" t="str">
        <f>VLOOKUP(LANÇAMENTOS[[#This Row],[Coluna1]],[1]Planilha2!$K$2:$O$130,4,0)</f>
        <v>Cartão</v>
      </c>
      <c r="J21" s="1" t="str">
        <f>VLOOKUP(LANÇAMENTOS[[#This Row],[Coluna1]],[1]Planilha2!$K$2:$O$130,5,0)</f>
        <v>Seguro</v>
      </c>
      <c r="L21" s="14">
        <v>9.99</v>
      </c>
      <c r="N21" s="1">
        <f>IF(ISNUMBER(LANÇAMENTOS[[#This Row],[Receita]]),LANÇAMENTOS[[#This Row],[Receita]],LANÇAMENTOS[[#This Row],[Transferência]])</f>
        <v>9.99</v>
      </c>
      <c r="R21" s="1" t="str">
        <v>barbearia</v>
      </c>
      <c r="S21" s="1" t="str">
        <v>Despesa</v>
      </c>
      <c r="T21" s="1" t="str">
        <v>CUIDADOS PESSOAIS</v>
      </c>
    </row>
    <row r="22" spans="2:20" x14ac:dyDescent="0.25">
      <c r="B22" s="2">
        <v>45903</v>
      </c>
      <c r="C22" s="2" t="str">
        <f>UPPER(TEXT(LANÇAMENTOS[[#This Row],[Data]],"mmm"))</f>
        <v>SET</v>
      </c>
      <c r="D22" s="2" t="str">
        <f>UPPER(TEXT(LANÇAMENTOS[[#This Row],[Data]],"AAAA"))</f>
        <v>2025</v>
      </c>
      <c r="E22" s="1" t="s">
        <v>40</v>
      </c>
      <c r="F22" s="1" t="s">
        <v>4</v>
      </c>
      <c r="G22" s="1" t="s">
        <v>33</v>
      </c>
      <c r="H22" s="1" t="str">
        <f>LANÇAMENTOS[[#This Row],[Categoria]]&amp;"-"&amp;LANÇAMENTOS[[#This Row],[Descrição]]</f>
        <v>ALIMENTAÇÃO-Gran coffee</v>
      </c>
      <c r="I22" s="1" t="str">
        <f>VLOOKUP(LANÇAMENTOS[[#This Row],[Coluna1]],[1]Planilha2!$K$2:$O$130,4,0)</f>
        <v>Alimentação</v>
      </c>
      <c r="J22" s="1" t="str">
        <f>VLOOKUP(LANÇAMENTOS[[#This Row],[Coluna1]],[1]Planilha2!$K$2:$O$130,5,0)</f>
        <v>Mercadinho</v>
      </c>
      <c r="L22" s="14">
        <v>22.79</v>
      </c>
      <c r="N22" s="1">
        <f>IF(ISNUMBER(LANÇAMENTOS[[#This Row],[Receita]]),LANÇAMENTOS[[#This Row],[Receita]],LANÇAMENTOS[[#This Row],[Transferência]])</f>
        <v>22.79</v>
      </c>
      <c r="R22" s="1" t="str">
        <v>BOMA</v>
      </c>
      <c r="S22" s="1" t="str">
        <v>Despesa</v>
      </c>
      <c r="T22" s="1" t="str">
        <v>LAZER</v>
      </c>
    </row>
    <row r="23" spans="2:20" x14ac:dyDescent="0.25">
      <c r="B23" s="2">
        <v>45906</v>
      </c>
      <c r="C23" s="2" t="str">
        <f>UPPER(TEXT(LANÇAMENTOS[[#This Row],[Data]],"mmm"))</f>
        <v>SET</v>
      </c>
      <c r="D23" s="2" t="str">
        <f>UPPER(TEXT(LANÇAMENTOS[[#This Row],[Data]],"AAAA"))</f>
        <v>2025</v>
      </c>
      <c r="E23" s="1" t="s">
        <v>41</v>
      </c>
      <c r="F23" s="1" t="s">
        <v>4</v>
      </c>
      <c r="G23" s="1" t="s">
        <v>27</v>
      </c>
      <c r="H23" s="1" t="str">
        <f>LANÇAMENTOS[[#This Row],[Categoria]]&amp;"-"&amp;LANÇAMENTOS[[#This Row],[Descrição]]</f>
        <v>LAZER-Cinema</v>
      </c>
      <c r="I23" s="1" t="str">
        <f>VLOOKUP(LANÇAMENTOS[[#This Row],[Coluna1]],[1]Planilha2!$K$2:$O$130,4,0)</f>
        <v>Lazer</v>
      </c>
      <c r="J23" s="1" t="str">
        <f>VLOOKUP(LANÇAMENTOS[[#This Row],[Coluna1]],[1]Planilha2!$K$2:$O$130,5,0)</f>
        <v>Cinema</v>
      </c>
      <c r="L23" s="14">
        <v>86</v>
      </c>
      <c r="N23" s="1">
        <f>IF(ISNUMBER(LANÇAMENTOS[[#This Row],[Receita]]),LANÇAMENTOS[[#This Row],[Receita]],LANÇAMENTOS[[#This Row],[Transferência]])</f>
        <v>86</v>
      </c>
      <c r="R23" s="1">
        <v>99</v>
      </c>
      <c r="S23" s="1" t="str">
        <v>Despesa</v>
      </c>
      <c r="T23" s="1" t="str">
        <v>TRANSPORTE</v>
      </c>
    </row>
    <row r="24" spans="2:20" x14ac:dyDescent="0.25">
      <c r="B24" s="2">
        <v>45906</v>
      </c>
      <c r="C24" s="2" t="str">
        <f>UPPER(TEXT(LANÇAMENTOS[[#This Row],[Data]],"mmm"))</f>
        <v>SET</v>
      </c>
      <c r="D24" s="2" t="str">
        <f>UPPER(TEXT(LANÇAMENTOS[[#This Row],[Data]],"AAAA"))</f>
        <v>2025</v>
      </c>
      <c r="E24" s="1" t="s">
        <v>42</v>
      </c>
      <c r="F24" s="1" t="s">
        <v>4</v>
      </c>
      <c r="G24" s="1" t="s">
        <v>27</v>
      </c>
      <c r="H24" s="1" t="str">
        <f>LANÇAMENTOS[[#This Row],[Categoria]]&amp;"-"&amp;LANÇAMENTOS[[#This Row],[Descrição]]</f>
        <v>LAZER-role</v>
      </c>
      <c r="I24" s="1" t="str">
        <f>VLOOKUP(LANÇAMENTOS[[#This Row],[Coluna1]],[1]Planilha2!$K$2:$O$130,4,0)</f>
        <v>Lazer</v>
      </c>
      <c r="J24" s="1" t="str">
        <f>VLOOKUP(LANÇAMENTOS[[#This Row],[Coluna1]],[1]Planilha2!$K$2:$O$130,5,0)</f>
        <v>Bar</v>
      </c>
      <c r="L24" s="14">
        <v>170</v>
      </c>
      <c r="N24" s="1">
        <f>IF(ISNUMBER(LANÇAMENTOS[[#This Row],[Receita]]),LANÇAMENTOS[[#This Row],[Receita]],LANÇAMENTOS[[#This Row],[Transferência]])</f>
        <v>170</v>
      </c>
      <c r="R24" s="1" t="str">
        <v>BELISCO BAR</v>
      </c>
      <c r="S24" s="1" t="str">
        <v>Despesa</v>
      </c>
      <c r="T24" s="1" t="str">
        <v>LAZER</v>
      </c>
    </row>
    <row r="25" spans="2:20" x14ac:dyDescent="0.25">
      <c r="B25" s="2">
        <v>45909</v>
      </c>
      <c r="C25" s="2" t="str">
        <f>UPPER(TEXT(LANÇAMENTOS[[#This Row],[Data]],"mmm"))</f>
        <v>SET</v>
      </c>
      <c r="D25" s="2" t="str">
        <f>UPPER(TEXT(LANÇAMENTOS[[#This Row],[Data]],"AAAA"))</f>
        <v>2025</v>
      </c>
      <c r="E25" s="1" t="s">
        <v>43</v>
      </c>
      <c r="F25" s="1" t="s">
        <v>4</v>
      </c>
      <c r="G25" s="1" t="s">
        <v>33</v>
      </c>
      <c r="H25" s="1" t="str">
        <f>LANÇAMENTOS[[#This Row],[Categoria]]&amp;"-"&amp;LANÇAMENTOS[[#This Row],[Descrição]]</f>
        <v>ALIMENTAÇÃO-Café</v>
      </c>
      <c r="I25" s="1" t="str">
        <f>VLOOKUP(LANÇAMENTOS[[#This Row],[Coluna1]],[1]Planilha2!$K$2:$O$130,4,0)</f>
        <v>Alimentação</v>
      </c>
      <c r="J25" s="1" t="str">
        <f>VLOOKUP(LANÇAMENTOS[[#This Row],[Coluna1]],[1]Planilha2!$K$2:$O$130,5,0)</f>
        <v>Restaurante</v>
      </c>
      <c r="L25" s="14">
        <v>21</v>
      </c>
      <c r="N25" s="1">
        <f>IF(ISNUMBER(LANÇAMENTOS[[#This Row],[Receita]]),LANÇAMENTOS[[#This Row],[Receita]],LANÇAMENTOS[[#This Row],[Transferência]])</f>
        <v>21</v>
      </c>
      <c r="R25" s="1" t="str">
        <v>OXXO</v>
      </c>
      <c r="S25" s="1" t="str">
        <v>Despesa</v>
      </c>
      <c r="T25" s="1" t="str">
        <v>LAZER</v>
      </c>
    </row>
    <row r="26" spans="2:20" x14ac:dyDescent="0.25">
      <c r="B26" s="2">
        <v>45910</v>
      </c>
      <c r="C26" s="2" t="str">
        <f>UPPER(TEXT(LANÇAMENTOS[[#This Row],[Data]],"mmm"))</f>
        <v>SET</v>
      </c>
      <c r="D26" s="2" t="str">
        <f>UPPER(TEXT(LANÇAMENTOS[[#This Row],[Data]],"AAAA"))</f>
        <v>2025</v>
      </c>
      <c r="E26" s="1" t="s">
        <v>44</v>
      </c>
      <c r="F26" s="1" t="s">
        <v>4</v>
      </c>
      <c r="G26" s="1" t="s">
        <v>46</v>
      </c>
      <c r="H26" s="1" t="str">
        <f>LANÇAMENTOS[[#This Row],[Categoria]]&amp;"-"&amp;LANÇAMENTOS[[#This Row],[Descrição]]</f>
        <v>CUIDADOS PESSOAIS-barbearia</v>
      </c>
      <c r="I26" s="1" t="str">
        <f>VLOOKUP(LANÇAMENTOS[[#This Row],[Coluna1]],[1]Planilha2!$K$2:$O$130,4,0)</f>
        <v>Cuidados Pessoais</v>
      </c>
      <c r="J26" s="1" t="str">
        <f>VLOOKUP(LANÇAMENTOS[[#This Row],[Coluna1]],[1]Planilha2!$K$2:$O$130,5,0)</f>
        <v>Barbearia</v>
      </c>
      <c r="L26" s="14">
        <v>105</v>
      </c>
      <c r="N26" s="1">
        <f>IF(ISNUMBER(LANÇAMENTOS[[#This Row],[Receita]]),LANÇAMENTOS[[#This Row],[Receita]],LANÇAMENTOS[[#This Row],[Transferência]])</f>
        <v>105</v>
      </c>
      <c r="R26" s="1" t="str">
        <v>NUTRICAR</v>
      </c>
      <c r="S26" s="1" t="str">
        <v>Despesa</v>
      </c>
      <c r="T26" s="1" t="str">
        <v>ALIMENTAÇÃO</v>
      </c>
    </row>
    <row r="27" spans="2:20" x14ac:dyDescent="0.25">
      <c r="B27" s="2">
        <v>45913</v>
      </c>
      <c r="C27" s="2" t="str">
        <f>UPPER(TEXT(LANÇAMENTOS[[#This Row],[Data]],"mmm"))</f>
        <v>SET</v>
      </c>
      <c r="D27" s="2" t="str">
        <f>UPPER(TEXT(LANÇAMENTOS[[#This Row],[Data]],"AAAA"))</f>
        <v>2025</v>
      </c>
      <c r="E27" s="1" t="s">
        <v>45</v>
      </c>
      <c r="F27" s="1" t="s">
        <v>4</v>
      </c>
      <c r="G27" s="1" t="s">
        <v>27</v>
      </c>
      <c r="H27" s="1" t="str">
        <f>LANÇAMENTOS[[#This Row],[Categoria]]&amp;"-"&amp;LANÇAMENTOS[[#This Row],[Descrição]]</f>
        <v>LAZER-BOMA</v>
      </c>
      <c r="I27" s="1" t="str">
        <f>VLOOKUP(LANÇAMENTOS[[#This Row],[Coluna1]],[1]Planilha2!$K$2:$O$130,4,0)</f>
        <v>Lazer</v>
      </c>
      <c r="J27" s="1" t="str">
        <f>VLOOKUP(LANÇAMENTOS[[#This Row],[Coluna1]],[1]Planilha2!$K$2:$O$130,5,0)</f>
        <v>Show</v>
      </c>
      <c r="L27" s="14">
        <v>10</v>
      </c>
      <c r="N27" s="1">
        <f>IF(ISNUMBER(LANÇAMENTOS[[#This Row],[Receita]]),LANÇAMENTOS[[#This Row],[Receita]],LANÇAMENTOS[[#This Row],[Transferência]])</f>
        <v>10</v>
      </c>
      <c r="R27" s="1" t="str">
        <v>PLR</v>
      </c>
      <c r="S27" s="1" t="str">
        <v>Receita</v>
      </c>
      <c r="T27" s="1" t="str">
        <v>PLR</v>
      </c>
    </row>
    <row r="28" spans="2:20" x14ac:dyDescent="0.25">
      <c r="B28" s="2">
        <v>45913</v>
      </c>
      <c r="C28" s="2" t="str">
        <f>UPPER(TEXT(LANÇAMENTOS[[#This Row],[Data]],"mmm"))</f>
        <v>SET</v>
      </c>
      <c r="D28" s="2" t="str">
        <f>UPPER(TEXT(LANÇAMENTOS[[#This Row],[Data]],"AAAA"))</f>
        <v>2025</v>
      </c>
      <c r="E28" s="1" t="s">
        <v>45</v>
      </c>
      <c r="F28" s="1" t="s">
        <v>4</v>
      </c>
      <c r="G28" s="1" t="s">
        <v>27</v>
      </c>
      <c r="H28" s="1" t="str">
        <f>LANÇAMENTOS[[#This Row],[Categoria]]&amp;"-"&amp;LANÇAMENTOS[[#This Row],[Descrição]]</f>
        <v>LAZER-BOMA</v>
      </c>
      <c r="I28" s="1" t="str">
        <f>VLOOKUP(LANÇAMENTOS[[#This Row],[Coluna1]],[1]Planilha2!$K$2:$O$130,4,0)</f>
        <v>Lazer</v>
      </c>
      <c r="J28" s="1" t="str">
        <f>VLOOKUP(LANÇAMENTOS[[#This Row],[Coluna1]],[1]Planilha2!$K$2:$O$130,5,0)</f>
        <v>Show</v>
      </c>
      <c r="L28" s="14">
        <v>90</v>
      </c>
      <c r="N28" s="1">
        <f>IF(ISNUMBER(LANÇAMENTOS[[#This Row],[Receita]]),LANÇAMENTOS[[#This Row],[Receita]],LANÇAMENTOS[[#This Row],[Transferência]])</f>
        <v>90</v>
      </c>
      <c r="R28" s="1" t="str">
        <v>festa morita</v>
      </c>
      <c r="S28" s="1" t="str">
        <v>Despesa</v>
      </c>
      <c r="T28" s="1" t="str">
        <v>LAZER</v>
      </c>
    </row>
    <row r="29" spans="2:20" x14ac:dyDescent="0.25">
      <c r="B29" s="2">
        <v>45913</v>
      </c>
      <c r="C29" s="2" t="str">
        <f>UPPER(TEXT(LANÇAMENTOS[[#This Row],[Data]],"mmm"))</f>
        <v>SET</v>
      </c>
      <c r="D29" s="2" t="str">
        <f>UPPER(TEXT(LANÇAMENTOS[[#This Row],[Data]],"AAAA"))</f>
        <v>2025</v>
      </c>
      <c r="E29" s="1">
        <v>99</v>
      </c>
      <c r="F29" s="1" t="s">
        <v>4</v>
      </c>
      <c r="G29" s="1" t="s">
        <v>35</v>
      </c>
      <c r="H29" s="1" t="str">
        <f>LANÇAMENTOS[[#This Row],[Categoria]]&amp;"-"&amp;LANÇAMENTOS[[#This Row],[Descrição]]</f>
        <v>TRANSPORTE-99</v>
      </c>
      <c r="I29" s="1" t="str">
        <f>VLOOKUP(LANÇAMENTOS[[#This Row],[Coluna1]],[1]Planilha2!$K$2:$O$130,4,0)</f>
        <v>Transporte</v>
      </c>
      <c r="J29" s="1" t="str">
        <f>VLOOKUP(LANÇAMENTOS[[#This Row],[Coluna1]],[1]Planilha2!$K$2:$O$130,5,0)</f>
        <v>Uber/táxi</v>
      </c>
      <c r="L29" s="14">
        <v>76.42</v>
      </c>
      <c r="N29" s="1">
        <f>IF(ISNUMBER(LANÇAMENTOS[[#This Row],[Receita]]),LANÇAMENTOS[[#This Row],[Receita]],LANÇAMENTOS[[#This Row],[Transferência]])</f>
        <v>76.42</v>
      </c>
      <c r="R29" s="1" t="str">
        <v>Apartamento</v>
      </c>
      <c r="S29" s="1" t="str">
        <v>Despesa</v>
      </c>
      <c r="T29" s="1" t="str">
        <v>APARTAMENTO</v>
      </c>
    </row>
    <row r="30" spans="2:20" x14ac:dyDescent="0.25">
      <c r="B30" s="2">
        <v>45913</v>
      </c>
      <c r="C30" s="2" t="str">
        <f>UPPER(TEXT(LANÇAMENTOS[[#This Row],[Data]],"mmm"))</f>
        <v>SET</v>
      </c>
      <c r="D30" s="2" t="str">
        <f>UPPER(TEXT(LANÇAMENTOS[[#This Row],[Data]],"AAAA"))</f>
        <v>2025</v>
      </c>
      <c r="E30" s="1" t="s">
        <v>47</v>
      </c>
      <c r="F30" s="1" t="s">
        <v>4</v>
      </c>
      <c r="G30" s="1" t="s">
        <v>27</v>
      </c>
      <c r="H30" s="1" t="str">
        <f>LANÇAMENTOS[[#This Row],[Categoria]]&amp;"-"&amp;LANÇAMENTOS[[#This Row],[Descrição]]</f>
        <v>LAZER-BELISCO BAR</v>
      </c>
      <c r="I30" s="1" t="str">
        <f>VLOOKUP(LANÇAMENTOS[[#This Row],[Coluna1]],[1]Planilha2!$K$2:$O$130,4,0)</f>
        <v>Lazer</v>
      </c>
      <c r="J30" s="1" t="str">
        <f>VLOOKUP(LANÇAMENTOS[[#This Row],[Coluna1]],[1]Planilha2!$K$2:$O$130,5,0)</f>
        <v>Bar</v>
      </c>
      <c r="L30" s="14">
        <v>84</v>
      </c>
      <c r="N30" s="1">
        <f>IF(ISNUMBER(LANÇAMENTOS[[#This Row],[Receita]]),LANÇAMENTOS[[#This Row],[Receita]],LANÇAMENTOS[[#This Row],[Transferência]])</f>
        <v>84</v>
      </c>
      <c r="R30" s="1" t="str">
        <v>farmacia</v>
      </c>
      <c r="S30" s="1" t="str">
        <v>Despesa</v>
      </c>
      <c r="T30" s="1" t="str">
        <v>CUIDADOS PESSOAIS</v>
      </c>
    </row>
    <row r="31" spans="2:20" x14ac:dyDescent="0.25">
      <c r="B31" s="2">
        <v>45913</v>
      </c>
      <c r="C31" s="2" t="str">
        <f>UPPER(TEXT(LANÇAMENTOS[[#This Row],[Data]],"mmm"))</f>
        <v>SET</v>
      </c>
      <c r="D31" s="2" t="str">
        <f>UPPER(TEXT(LANÇAMENTOS[[#This Row],[Data]],"AAAA"))</f>
        <v>2025</v>
      </c>
      <c r="E31" s="1" t="s">
        <v>48</v>
      </c>
      <c r="F31" s="1" t="s">
        <v>4</v>
      </c>
      <c r="G31" s="1" t="s">
        <v>35</v>
      </c>
      <c r="H31" s="1" t="str">
        <f>LANÇAMENTOS[[#This Row],[Categoria]]&amp;"-"&amp;LANÇAMENTOS[[#This Row],[Descrição]]</f>
        <v>TRANSPORTE-UBER</v>
      </c>
      <c r="I31" s="1" t="str">
        <f>VLOOKUP(LANÇAMENTOS[[#This Row],[Coluna1]],[1]Planilha2!$K$2:$O$130,4,0)</f>
        <v>Transporte</v>
      </c>
      <c r="J31" s="1" t="str">
        <f>VLOOKUP(LANÇAMENTOS[[#This Row],[Coluna1]],[1]Planilha2!$K$2:$O$130,5,0)</f>
        <v>Uber/táxi</v>
      </c>
      <c r="L31" s="14">
        <v>17.829999999999998</v>
      </c>
      <c r="N31" s="1">
        <f>IF(ISNUMBER(LANÇAMENTOS[[#This Row],[Receita]]),LANÇAMENTOS[[#This Row],[Receita]],LANÇAMENTOS[[#This Row],[Transferência]])</f>
        <v>17.829999999999998</v>
      </c>
      <c r="R31" s="1" t="str">
        <v>cookie</v>
      </c>
      <c r="S31" s="1" t="str">
        <v>Despesa</v>
      </c>
      <c r="T31" s="1" t="str">
        <v>ALIMENTAÇÃO</v>
      </c>
    </row>
    <row r="32" spans="2:20" x14ac:dyDescent="0.25">
      <c r="B32" s="2">
        <v>45914</v>
      </c>
      <c r="C32" s="2" t="str">
        <f>UPPER(TEXT(LANÇAMENTOS[[#This Row],[Data]],"mmm"))</f>
        <v>SET</v>
      </c>
      <c r="D32" s="2" t="str">
        <f>UPPER(TEXT(LANÇAMENTOS[[#This Row],[Data]],"AAAA"))</f>
        <v>2025</v>
      </c>
      <c r="E32" s="1" t="s">
        <v>48</v>
      </c>
      <c r="F32" s="1" t="s">
        <v>4</v>
      </c>
      <c r="G32" s="1" t="s">
        <v>35</v>
      </c>
      <c r="H32" s="1" t="str">
        <f>LANÇAMENTOS[[#This Row],[Categoria]]&amp;"-"&amp;LANÇAMENTOS[[#This Row],[Descrição]]</f>
        <v>TRANSPORTE-UBER</v>
      </c>
      <c r="I32" s="1" t="str">
        <f>VLOOKUP(LANÇAMENTOS[[#This Row],[Coluna1]],[1]Planilha2!$K$2:$O$130,4,0)</f>
        <v>Transporte</v>
      </c>
      <c r="J32" s="1" t="str">
        <f>VLOOKUP(LANÇAMENTOS[[#This Row],[Coluna1]],[1]Planilha2!$K$2:$O$130,5,0)</f>
        <v>Uber/táxi</v>
      </c>
      <c r="L32" s="14">
        <v>24.27</v>
      </c>
      <c r="N32" s="1">
        <f>IF(ISNUMBER(LANÇAMENTOS[[#This Row],[Receita]]),LANÇAMENTOS[[#This Row],[Receita]],LANÇAMENTOS[[#This Row],[Transferência]])</f>
        <v>24.27</v>
      </c>
      <c r="R32" s="1" t="str">
        <v>sorvete</v>
      </c>
      <c r="S32" s="1" t="str">
        <v>Despesa</v>
      </c>
      <c r="T32" s="1" t="str">
        <v>ALIMENTAÇÃO</v>
      </c>
    </row>
    <row r="33" spans="2:20" x14ac:dyDescent="0.25">
      <c r="B33" s="2">
        <v>45914</v>
      </c>
      <c r="C33" s="2" t="str">
        <f>UPPER(TEXT(LANÇAMENTOS[[#This Row],[Data]],"mmm"))</f>
        <v>SET</v>
      </c>
      <c r="D33" s="2" t="str">
        <f>UPPER(TEXT(LANÇAMENTOS[[#This Row],[Data]],"AAAA"))</f>
        <v>2025</v>
      </c>
      <c r="E33" s="1" t="s">
        <v>49</v>
      </c>
      <c r="F33" s="1" t="s">
        <v>4</v>
      </c>
      <c r="G33" s="1" t="s">
        <v>27</v>
      </c>
      <c r="H33" s="1" t="str">
        <f>LANÇAMENTOS[[#This Row],[Categoria]]&amp;"-"&amp;LANÇAMENTOS[[#This Row],[Descrição]]</f>
        <v>LAZER-OXXO</v>
      </c>
      <c r="I33" s="1" t="str">
        <f>VLOOKUP(LANÇAMENTOS[[#This Row],[Coluna1]],[1]Planilha2!$K$2:$O$130,4,0)</f>
        <v>Alimentação</v>
      </c>
      <c r="J33" s="1" t="str">
        <f>VLOOKUP(LANÇAMENTOS[[#This Row],[Coluna1]],[1]Planilha2!$K$2:$O$130,5,0)</f>
        <v>mercado</v>
      </c>
      <c r="L33" s="14">
        <v>10.99</v>
      </c>
      <c r="N33" s="1">
        <f>IF(ISNUMBER(LANÇAMENTOS[[#This Row],[Receita]]),LANÇAMENTOS[[#This Row],[Receita]],LANÇAMENTOS[[#This Row],[Transferência]])</f>
        <v>10.99</v>
      </c>
      <c r="R33" s="1" t="str">
        <v>investimento</v>
      </c>
      <c r="S33" s="1" t="str">
        <v>investimento</v>
      </c>
      <c r="T33" s="1" t="str">
        <v>INVESTIMENTO</v>
      </c>
    </row>
    <row r="34" spans="2:20" x14ac:dyDescent="0.25">
      <c r="B34" s="2">
        <v>45917</v>
      </c>
      <c r="C34" s="2" t="str">
        <f>UPPER(TEXT(LANÇAMENTOS[[#This Row],[Data]],"mmm"))</f>
        <v>SET</v>
      </c>
      <c r="D34" s="2" t="str">
        <f>UPPER(TEXT(LANÇAMENTOS[[#This Row],[Data]],"AAAA"))</f>
        <v>2025</v>
      </c>
      <c r="E34" s="1" t="s">
        <v>50</v>
      </c>
      <c r="F34" s="1" t="s">
        <v>4</v>
      </c>
      <c r="G34" s="1" t="s">
        <v>33</v>
      </c>
      <c r="H34" s="1" t="str">
        <f>LANÇAMENTOS[[#This Row],[Categoria]]&amp;"-"&amp;LANÇAMENTOS[[#This Row],[Descrição]]</f>
        <v>ALIMENTAÇÃO-NUTRICAR</v>
      </c>
      <c r="I34" s="1" t="str">
        <f>VLOOKUP(LANÇAMENTOS[[#This Row],[Coluna1]],[1]Planilha2!$K$2:$O$130,4,0)</f>
        <v>Alimentação</v>
      </c>
      <c r="J34" s="1" t="str">
        <f>VLOOKUP(LANÇAMENTOS[[#This Row],[Coluna1]],[1]Planilha2!$K$2:$O$130,5,0)</f>
        <v>Mercadinho</v>
      </c>
      <c r="L34" s="14">
        <v>17.989999999999998</v>
      </c>
      <c r="N34" s="1">
        <f>IF(ISNUMBER(LANÇAMENTOS[[#This Row],[Receita]]),LANÇAMENTOS[[#This Row],[Receita]],LANÇAMENTOS[[#This Row],[Transferência]])</f>
        <v>17.989999999999998</v>
      </c>
      <c r="R34" s="1" t="str">
        <v>pix pedrinho</v>
      </c>
      <c r="S34" s="1" t="str">
        <v>Receita</v>
      </c>
      <c r="T34" s="1" t="str">
        <v>PIX ROLE</v>
      </c>
    </row>
    <row r="35" spans="2:20" x14ac:dyDescent="0.25">
      <c r="B35" s="2">
        <v>45918</v>
      </c>
      <c r="C35" s="2" t="str">
        <f>UPPER(TEXT(LANÇAMENTOS[[#This Row],[Data]],"mmm"))</f>
        <v>SET</v>
      </c>
      <c r="D35" s="2" t="str">
        <f>UPPER(TEXT(LANÇAMENTOS[[#This Row],[Data]],"AAAA"))</f>
        <v>2025</v>
      </c>
      <c r="E35" s="1" t="s">
        <v>30</v>
      </c>
      <c r="F35" s="1" t="s">
        <v>4</v>
      </c>
      <c r="G35" s="1" t="s">
        <v>31</v>
      </c>
      <c r="H35" s="1" t="str">
        <f>LANÇAMENTOS[[#This Row],[Categoria]]&amp;"-"&amp;LANÇAMENTOS[[#This Row],[Descrição]]</f>
        <v>CARTÃO-seguro cartão</v>
      </c>
      <c r="I35" s="1" t="str">
        <f>VLOOKUP(LANÇAMENTOS[[#This Row],[Coluna1]],[1]Planilha2!$K$2:$O$130,4,0)</f>
        <v>Cartão</v>
      </c>
      <c r="J35" s="1" t="str">
        <f>VLOOKUP(LANÇAMENTOS[[#This Row],[Coluna1]],[1]Planilha2!$K$2:$O$130,5,0)</f>
        <v>Seguro</v>
      </c>
      <c r="L35" s="14">
        <v>9.99</v>
      </c>
      <c r="N35" s="1">
        <f>IF(ISNUMBER(LANÇAMENTOS[[#This Row],[Receita]]),LANÇAMENTOS[[#This Row],[Receita]],LANÇAMENTOS[[#This Row],[Transferência]])</f>
        <v>9.99</v>
      </c>
      <c r="R35" s="1" t="str">
        <v>DENTISTA</v>
      </c>
      <c r="S35" s="1" t="str">
        <v>Despesa</v>
      </c>
      <c r="T35" s="1" t="str">
        <v>CUIDADOS PESSOAIS</v>
      </c>
    </row>
    <row r="36" spans="2:20" x14ac:dyDescent="0.25">
      <c r="B36" s="2">
        <v>45918</v>
      </c>
      <c r="C36" s="2" t="str">
        <f>UPPER(TEXT(LANÇAMENTOS[[#This Row],[Data]],"mmm"))</f>
        <v>SET</v>
      </c>
      <c r="D36" s="2" t="str">
        <f>UPPER(TEXT(LANÇAMENTOS[[#This Row],[Data]],"AAAA"))</f>
        <v>2025</v>
      </c>
      <c r="E36" s="1" t="s">
        <v>40</v>
      </c>
      <c r="F36" s="1" t="s">
        <v>4</v>
      </c>
      <c r="G36" s="1" t="s">
        <v>33</v>
      </c>
      <c r="H36" s="1" t="str">
        <f>LANÇAMENTOS[[#This Row],[Categoria]]&amp;"-"&amp;LANÇAMENTOS[[#This Row],[Descrição]]</f>
        <v>ALIMENTAÇÃO-Gran coffee</v>
      </c>
      <c r="I36" s="1" t="str">
        <f>VLOOKUP(LANÇAMENTOS[[#This Row],[Coluna1]],[1]Planilha2!$K$2:$O$130,4,0)</f>
        <v>Alimentação</v>
      </c>
      <c r="J36" s="1" t="str">
        <f>VLOOKUP(LANÇAMENTOS[[#This Row],[Coluna1]],[1]Planilha2!$K$2:$O$130,5,0)</f>
        <v>Mercadinho</v>
      </c>
      <c r="L36" s="14">
        <v>6</v>
      </c>
      <c r="N36" s="1">
        <f>IF(ISNUMBER(LANÇAMENTOS[[#This Row],[Receita]]),LANÇAMENTOS[[#This Row],[Receita]],LANÇAMENTOS[[#This Row],[Transferência]])</f>
        <v>6</v>
      </c>
      <c r="R36" s="1" t="str">
        <v>gastos cartao</v>
      </c>
      <c r="S36" s="1" t="str">
        <v>Despesa</v>
      </c>
      <c r="T36" s="1" t="str">
        <v>LAZER</v>
      </c>
    </row>
    <row r="37" spans="2:20" x14ac:dyDescent="0.25">
      <c r="B37" s="2">
        <v>45919</v>
      </c>
      <c r="C37" s="2" t="str">
        <f>UPPER(TEXT(LANÇAMENTOS[[#This Row],[Data]],"mmm"))</f>
        <v>SET</v>
      </c>
      <c r="D37" s="2" t="str">
        <f>UPPER(TEXT(LANÇAMENTOS[[#This Row],[Data]],"AAAA"))</f>
        <v>2025</v>
      </c>
      <c r="E37" s="1" t="s">
        <v>57</v>
      </c>
      <c r="F37" s="1" t="s">
        <v>5</v>
      </c>
      <c r="G37" s="1" t="s">
        <v>57</v>
      </c>
      <c r="H37" s="1" t="str">
        <f>LANÇAMENTOS[[#This Row],[Categoria]]&amp;"-"&amp;LANÇAMENTOS[[#This Row],[Descrição]]</f>
        <v>PLR-PLR</v>
      </c>
      <c r="I37" s="1" t="str">
        <f>VLOOKUP(LANÇAMENTOS[[#This Row],[Coluna1]],[1]Planilha2!$K$2:$O$130,4,0)</f>
        <v>Profissional</v>
      </c>
      <c r="J37" s="1" t="str">
        <f>VLOOKUP(LANÇAMENTOS[[#This Row],[Coluna1]],[1]Planilha2!$K$2:$O$130,5,0)</f>
        <v>PLR</v>
      </c>
      <c r="K37" s="14">
        <v>3771.76</v>
      </c>
      <c r="N37" s="1">
        <f>IF(ISNUMBER(LANÇAMENTOS[[#This Row],[Receita]]),LANÇAMENTOS[[#This Row],[Receita]],LANÇAMENTOS[[#This Row],[Transferência]])</f>
        <v>3771.76</v>
      </c>
      <c r="R37" s="1" t="str">
        <v>banca</v>
      </c>
      <c r="S37" s="1" t="str">
        <v>Despesa</v>
      </c>
      <c r="T37" s="1" t="str">
        <v>LAZER</v>
      </c>
    </row>
    <row r="38" spans="2:20" x14ac:dyDescent="0.25">
      <c r="B38" s="2">
        <v>45920</v>
      </c>
      <c r="C38" s="2" t="str">
        <f>UPPER(TEXT(LANÇAMENTOS[[#This Row],[Data]],"mmm"))</f>
        <v>SET</v>
      </c>
      <c r="D38" s="2" t="str">
        <f>UPPER(TEXT(LANÇAMENTOS[[#This Row],[Data]],"AAAA"))</f>
        <v>2025</v>
      </c>
      <c r="E38" s="1">
        <v>99</v>
      </c>
      <c r="F38" s="1" t="s">
        <v>4</v>
      </c>
      <c r="G38" s="1" t="s">
        <v>35</v>
      </c>
      <c r="H38" s="1" t="str">
        <f>LANÇAMENTOS[[#This Row],[Categoria]]&amp;"-"&amp;LANÇAMENTOS[[#This Row],[Descrição]]</f>
        <v>TRANSPORTE-99</v>
      </c>
      <c r="I38" s="1" t="str">
        <f>VLOOKUP(LANÇAMENTOS[[#This Row],[Coluna1]],[1]Planilha2!$K$2:$O$130,4,0)</f>
        <v>Transporte</v>
      </c>
      <c r="J38" s="1" t="str">
        <f>VLOOKUP(LANÇAMENTOS[[#This Row],[Coluna1]],[1]Planilha2!$K$2:$O$130,5,0)</f>
        <v>Uber/táxi</v>
      </c>
      <c r="L38" s="14">
        <v>47.7</v>
      </c>
      <c r="N38" s="1">
        <f>IF(ISNUMBER(LANÇAMENTOS[[#This Row],[Receita]]),LANÇAMENTOS[[#This Row],[Receita]],LANÇAMENTOS[[#This Row],[Transferência]])</f>
        <v>47.7</v>
      </c>
      <c r="R38" s="1" t="str">
        <v>pix</v>
      </c>
      <c r="S38" s="1" t="str">
        <v>Despesa</v>
      </c>
      <c r="T38" s="1" t="str">
        <v>LAZER</v>
      </c>
    </row>
    <row r="39" spans="2:20" x14ac:dyDescent="0.25">
      <c r="B39" s="2">
        <v>45920</v>
      </c>
      <c r="C39" s="2" t="str">
        <f>UPPER(TEXT(LANÇAMENTOS[[#This Row],[Data]],"mmm"))</f>
        <v>SET</v>
      </c>
      <c r="D39" s="2" t="str">
        <f>UPPER(TEXT(LANÇAMENTOS[[#This Row],[Data]],"AAAA"))</f>
        <v>2025</v>
      </c>
      <c r="E39" s="1" t="s">
        <v>51</v>
      </c>
      <c r="F39" s="1" t="s">
        <v>4</v>
      </c>
      <c r="G39" s="1" t="s">
        <v>27</v>
      </c>
      <c r="H39" s="1" t="str">
        <f>LANÇAMENTOS[[#This Row],[Categoria]]&amp;"-"&amp;LANÇAMENTOS[[#This Row],[Descrição]]</f>
        <v>LAZER-festa morita</v>
      </c>
      <c r="I39" s="1" t="str">
        <f>VLOOKUP(LANÇAMENTOS[[#This Row],[Coluna1]],[1]Planilha2!$K$2:$O$130,4,0)</f>
        <v>Lazer</v>
      </c>
      <c r="J39" s="1" t="str">
        <f>VLOOKUP(LANÇAMENTOS[[#This Row],[Coluna1]],[1]Planilha2!$K$2:$O$130,5,0)</f>
        <v>Bar</v>
      </c>
      <c r="L39" s="14">
        <v>56.1</v>
      </c>
      <c r="N39" s="1">
        <f>IF(ISNUMBER(LANÇAMENTOS[[#This Row],[Receita]]),LANÇAMENTOS[[#This Row],[Receita]],LANÇAMENTOS[[#This Row],[Transferência]])</f>
        <v>56.1</v>
      </c>
      <c r="R39" s="1" t="str">
        <v>pix</v>
      </c>
      <c r="S39" s="1" t="str">
        <v>Despesa</v>
      </c>
      <c r="T39" s="1" t="str">
        <v>PIX ROLE</v>
      </c>
    </row>
    <row r="40" spans="2:20" x14ac:dyDescent="0.25">
      <c r="B40" s="2">
        <v>45920</v>
      </c>
      <c r="C40" s="2" t="str">
        <f>UPPER(TEXT(LANÇAMENTOS[[#This Row],[Data]],"mmm"))</f>
        <v>SET</v>
      </c>
      <c r="D40" s="2" t="str">
        <f>UPPER(TEXT(LANÇAMENTOS[[#This Row],[Data]],"AAAA"))</f>
        <v>2025</v>
      </c>
      <c r="E40" s="1">
        <v>99</v>
      </c>
      <c r="F40" s="1" t="s">
        <v>4</v>
      </c>
      <c r="G40" s="1" t="s">
        <v>35</v>
      </c>
      <c r="H40" s="1" t="str">
        <f>LANÇAMENTOS[[#This Row],[Categoria]]&amp;"-"&amp;LANÇAMENTOS[[#This Row],[Descrição]]</f>
        <v>TRANSPORTE-99</v>
      </c>
      <c r="I40" s="1" t="str">
        <f>VLOOKUP(LANÇAMENTOS[[#This Row],[Coluna1]],[1]Planilha2!$K$2:$O$130,4,0)</f>
        <v>Transporte</v>
      </c>
      <c r="J40" s="1" t="str">
        <f>VLOOKUP(LANÇAMENTOS[[#This Row],[Coluna1]],[1]Planilha2!$K$2:$O$130,5,0)</f>
        <v>Uber/táxi</v>
      </c>
      <c r="L40" s="14">
        <v>24.9</v>
      </c>
      <c r="N40" s="1">
        <f>IF(ISNUMBER(LANÇAMENTOS[[#This Row],[Receita]]),LANÇAMENTOS[[#This Row],[Receita]],LANÇAMENTOS[[#This Row],[Transferência]])</f>
        <v>24.9</v>
      </c>
      <c r="R40" s="1" t="str">
        <v>cabelo</v>
      </c>
      <c r="S40" s="1" t="str">
        <v>Despesa</v>
      </c>
      <c r="T40" s="1" t="str">
        <v>CUIDADOS PESSOAIS</v>
      </c>
    </row>
    <row r="41" spans="2:20" x14ac:dyDescent="0.25">
      <c r="B41" s="2">
        <v>45926</v>
      </c>
      <c r="C41" s="2" t="str">
        <f>UPPER(TEXT(LANÇAMENTOS[[#This Row],[Data]],"mmm"))</f>
        <v>SET</v>
      </c>
      <c r="D41" s="2" t="str">
        <f>UPPER(TEXT(LANÇAMENTOS[[#This Row],[Data]],"AAAA"))</f>
        <v>2025</v>
      </c>
      <c r="E41" s="1" t="s">
        <v>55</v>
      </c>
      <c r="F41" s="1" t="s">
        <v>4</v>
      </c>
      <c r="G41" s="1" t="s">
        <v>56</v>
      </c>
      <c r="H41" s="1" t="str">
        <f>LANÇAMENTOS[[#This Row],[Categoria]]&amp;"-"&amp;LANÇAMENTOS[[#This Row],[Descrição]]</f>
        <v>APARTAMENTO-Apartamento</v>
      </c>
      <c r="I41" s="1" t="str">
        <f>VLOOKUP(LANÇAMENTOS[[#This Row],[Coluna1]],[1]Planilha2!$K$2:$O$130,4,0)</f>
        <v>Moradia</v>
      </c>
      <c r="J41" s="1" t="str">
        <f>VLOOKUP(LANÇAMENTOS[[#This Row],[Coluna1]],[1]Planilha2!$K$2:$O$130,5,0)</f>
        <v>Parcela apto</v>
      </c>
      <c r="L41" s="14">
        <v>1429.23</v>
      </c>
      <c r="N41" s="1">
        <f>IF(ISNUMBER(LANÇAMENTOS[[#This Row],[Receita]]),LANÇAMENTOS[[#This Row],[Receita]],LANÇAMENTOS[[#This Row],[Transferência]])</f>
        <v>1429.23</v>
      </c>
      <c r="R41" s="1" t="str">
        <v>bar</v>
      </c>
      <c r="S41" s="1" t="str">
        <v>Despesa</v>
      </c>
      <c r="T41" s="1" t="str">
        <v>LAZER</v>
      </c>
    </row>
    <row r="42" spans="2:20" x14ac:dyDescent="0.25">
      <c r="B42" s="2">
        <v>45926</v>
      </c>
      <c r="C42" s="2" t="str">
        <f>UPPER(TEXT(LANÇAMENTOS[[#This Row],[Data]],"mmm"))</f>
        <v>SET</v>
      </c>
      <c r="D42" s="2" t="str">
        <f>UPPER(TEXT(LANÇAMENTOS[[#This Row],[Data]],"AAAA"))</f>
        <v>2025</v>
      </c>
      <c r="E42" s="1" t="s">
        <v>53</v>
      </c>
      <c r="F42" s="1" t="s">
        <v>4</v>
      </c>
      <c r="G42" s="1" t="s">
        <v>46</v>
      </c>
      <c r="H42" s="1" t="str">
        <f>LANÇAMENTOS[[#This Row],[Categoria]]&amp;"-"&amp;LANÇAMENTOS[[#This Row],[Descrição]]</f>
        <v>CUIDADOS PESSOAIS-farmacia</v>
      </c>
      <c r="I42" s="1" t="str">
        <f>VLOOKUP(LANÇAMENTOS[[#This Row],[Coluna1]],[1]Planilha2!$K$2:$O$130,4,0)</f>
        <v>Saúde</v>
      </c>
      <c r="J42" s="1" t="str">
        <f>VLOOKUP(LANÇAMENTOS[[#This Row],[Coluna1]],[1]Planilha2!$K$2:$O$130,5,0)</f>
        <v>Farmácia</v>
      </c>
      <c r="L42" s="14">
        <v>62.28</v>
      </c>
      <c r="N42" s="1">
        <f>IF(ISNUMBER(LANÇAMENTOS[[#This Row],[Receita]]),LANÇAMENTOS[[#This Row],[Receita]],LANÇAMENTOS[[#This Row],[Transferência]])</f>
        <v>62.28</v>
      </c>
      <c r="R42" s="1" t="str">
        <v>pix leh role</v>
      </c>
      <c r="S42" s="1" t="str">
        <v>Despesa</v>
      </c>
      <c r="T42" s="1" t="str">
        <v>PIX ROLE</v>
      </c>
    </row>
    <row r="43" spans="2:20" x14ac:dyDescent="0.25">
      <c r="B43" s="2">
        <v>45927</v>
      </c>
      <c r="C43" s="2" t="str">
        <f>UPPER(TEXT(LANÇAMENTOS[[#This Row],[Data]],"mmm"))</f>
        <v>SET</v>
      </c>
      <c r="D43" s="2" t="str">
        <f>UPPER(TEXT(LANÇAMENTOS[[#This Row],[Data]],"AAAA"))</f>
        <v>2025</v>
      </c>
      <c r="E43" s="1" t="s">
        <v>54</v>
      </c>
      <c r="F43" s="1" t="s">
        <v>4</v>
      </c>
      <c r="G43" s="1" t="s">
        <v>33</v>
      </c>
      <c r="H43" s="1" t="str">
        <f>LANÇAMENTOS[[#This Row],[Categoria]]&amp;"-"&amp;LANÇAMENTOS[[#This Row],[Descrição]]</f>
        <v>ALIMENTAÇÃO-cookie</v>
      </c>
      <c r="I43" s="1" t="str">
        <f>VLOOKUP(LANÇAMENTOS[[#This Row],[Coluna1]],[1]Planilha2!$K$2:$O$130,4,0)</f>
        <v>Alimentação</v>
      </c>
      <c r="J43" s="1" t="str">
        <f>VLOOKUP(LANÇAMENTOS[[#This Row],[Coluna1]],[1]Planilha2!$K$2:$O$130,5,0)</f>
        <v>Restaurante</v>
      </c>
      <c r="L43" s="14">
        <v>14</v>
      </c>
      <c r="N43" s="1">
        <f>IF(ISNUMBER(LANÇAMENTOS[[#This Row],[Receita]]),LANÇAMENTOS[[#This Row],[Receita]],LANÇAMENTOS[[#This Row],[Transferência]])</f>
        <v>14</v>
      </c>
      <c r="R43" s="1" t="str">
        <v>mercado</v>
      </c>
      <c r="S43" s="1" t="str">
        <v>Despesa</v>
      </c>
      <c r="T43" s="1" t="str">
        <v>ALIMENTAÇÃO</v>
      </c>
    </row>
    <row r="44" spans="2:20" x14ac:dyDescent="0.25">
      <c r="B44" s="2">
        <v>45927</v>
      </c>
      <c r="C44" s="2" t="str">
        <f>UPPER(TEXT(LANÇAMENTOS[[#This Row],[Data]],"mmm"))</f>
        <v>SET</v>
      </c>
      <c r="D44" s="2" t="str">
        <f>UPPER(TEXT(LANÇAMENTOS[[#This Row],[Data]],"AAAA"))</f>
        <v>2025</v>
      </c>
      <c r="E44" s="1" t="s">
        <v>52</v>
      </c>
      <c r="F44" s="1" t="s">
        <v>4</v>
      </c>
      <c r="G44" s="1" t="s">
        <v>33</v>
      </c>
      <c r="H44" s="1" t="str">
        <f>LANÇAMENTOS[[#This Row],[Categoria]]&amp;"-"&amp;LANÇAMENTOS[[#This Row],[Descrição]]</f>
        <v>ALIMENTAÇÃO-sorvete</v>
      </c>
      <c r="I44" s="1" t="str">
        <f>VLOOKUP(LANÇAMENTOS[[#This Row],[Coluna1]],[1]Planilha2!$K$2:$O$130,4,0)</f>
        <v>Alimentação</v>
      </c>
      <c r="J44" s="1" t="str">
        <f>VLOOKUP(LANÇAMENTOS[[#This Row],[Coluna1]],[1]Planilha2!$K$2:$O$130,5,0)</f>
        <v>Restaurante</v>
      </c>
      <c r="L44" s="14">
        <v>57</v>
      </c>
      <c r="N44" s="1">
        <f>IF(ISNUMBER(LANÇAMENTOS[[#This Row],[Receita]]),LANÇAMENTOS[[#This Row],[Receita]],LANÇAMENTOS[[#This Row],[Transferência]])</f>
        <v>57</v>
      </c>
      <c r="R44" s="1" t="str">
        <v>estacionamento</v>
      </c>
      <c r="S44" s="1" t="str">
        <v>Despesa</v>
      </c>
      <c r="T44" s="1" t="str">
        <v>LAZER</v>
      </c>
    </row>
    <row r="45" spans="2:20" x14ac:dyDescent="0.25">
      <c r="B45" s="2">
        <v>45929</v>
      </c>
      <c r="C45" s="2" t="str">
        <f>UPPER(TEXT(LANÇAMENTOS[[#This Row],[Data]],"mmm"))</f>
        <v>SET</v>
      </c>
      <c r="D45" s="2" t="str">
        <f>UPPER(TEXT(LANÇAMENTOS[[#This Row],[Data]],"AAAA"))</f>
        <v>2025</v>
      </c>
      <c r="E45" s="1" t="s">
        <v>18</v>
      </c>
      <c r="F45" s="1" t="s">
        <v>5</v>
      </c>
      <c r="G45" s="1" t="s">
        <v>25</v>
      </c>
      <c r="H45" s="1" t="str">
        <f>LANÇAMENTOS[[#This Row],[Categoria]]&amp;"-"&amp;LANÇAMENTOS[[#This Row],[Descrição]]</f>
        <v>SALÁRIO-Salario clt</v>
      </c>
      <c r="I45" s="1" t="str">
        <f>VLOOKUP(LANÇAMENTOS[[#This Row],[Coluna1]],[1]Planilha2!$K$2:$O$130,4,0)</f>
        <v>Profissional</v>
      </c>
      <c r="J45" s="1" t="str">
        <f>VLOOKUP(LANÇAMENTOS[[#This Row],[Coluna1]],[1]Planilha2!$K$2:$O$130,5,0)</f>
        <v>Salário</v>
      </c>
      <c r="K45" s="14">
        <v>5005.1000000000004</v>
      </c>
      <c r="N45" s="1">
        <f>IF(ISNUMBER(LANÇAMENTOS[[#This Row],[Receita]]),LANÇAMENTOS[[#This Row],[Receita]],LANÇAMENTOS[[#This Row],[Transferência]])</f>
        <v>5005.1000000000004</v>
      </c>
      <c r="R45" s="1" t="str">
        <v>pix</v>
      </c>
      <c r="S45" s="1" t="str">
        <v>Receita</v>
      </c>
      <c r="T45" s="1" t="str">
        <v>PIX ROLE</v>
      </c>
    </row>
    <row r="46" spans="2:20" x14ac:dyDescent="0.25">
      <c r="B46" s="2">
        <v>45929</v>
      </c>
      <c r="C46" s="2" t="str">
        <f>UPPER(TEXT(LANÇAMENTOS[[#This Row],[Data]],"mmm"))</f>
        <v>SET</v>
      </c>
      <c r="D46" s="2" t="str">
        <f>UPPER(TEXT(LANÇAMENTOS[[#This Row],[Data]],"AAAA"))</f>
        <v>2025</v>
      </c>
      <c r="E46" s="1" t="s">
        <v>19</v>
      </c>
      <c r="F46" s="1" t="s">
        <v>20</v>
      </c>
      <c r="G46" s="1" t="s">
        <v>21</v>
      </c>
      <c r="H46" s="1" t="str">
        <f>LANÇAMENTOS[[#This Row],[Categoria]]&amp;"-"&amp;LANÇAMENTOS[[#This Row],[Descrição]]</f>
        <v>PREV. PRIVADA-prev privada</v>
      </c>
      <c r="I46" s="1" t="str">
        <f>VLOOKUP(LANÇAMENTOS[[#This Row],[Coluna1]],[1]Planilha2!$K$2:$O$130,4,0)</f>
        <v>Investimentos</v>
      </c>
      <c r="J46" s="1" t="str">
        <f>VLOOKUP(LANÇAMENTOS[[#This Row],[Coluna1]],[1]Planilha2!$K$2:$O$130,5,0)</f>
        <v>Previdência Privada</v>
      </c>
      <c r="L46" s="14">
        <v>252</v>
      </c>
      <c r="N46" s="1">
        <f>IF(ISNUMBER(LANÇAMENTOS[[#This Row],[Receita]]),LANÇAMENTOS[[#This Row],[Receita]],LANÇAMENTOS[[#This Row],[Transferência]])</f>
        <v>252</v>
      </c>
      <c r="R46" s="1" t="str">
        <v>pod</v>
      </c>
      <c r="S46" s="1" t="str">
        <v>Despesa</v>
      </c>
      <c r="T46" s="1" t="str">
        <v>LAZER</v>
      </c>
    </row>
    <row r="47" spans="2:20" x14ac:dyDescent="0.25">
      <c r="B47" s="2">
        <v>45929</v>
      </c>
      <c r="C47" s="2" t="str">
        <f>UPPER(TEXT(LANÇAMENTOS[[#This Row],[Data]],"mmm"))</f>
        <v>SET</v>
      </c>
      <c r="D47" s="2" t="str">
        <f>UPPER(TEXT(LANÇAMENTOS[[#This Row],[Data]],"AAAA"))</f>
        <v>2025</v>
      </c>
      <c r="E47" s="1" t="s">
        <v>20</v>
      </c>
      <c r="F47" s="1" t="s">
        <v>20</v>
      </c>
      <c r="G47" s="1" t="s">
        <v>59</v>
      </c>
      <c r="H47" s="1" t="str">
        <f>LANÇAMENTOS[[#This Row],[Categoria]]&amp;"-"&amp;LANÇAMENTOS[[#This Row],[Descrição]]</f>
        <v>INVESTIMENTO-investimento</v>
      </c>
      <c r="I47" s="1" t="str">
        <f>VLOOKUP(LANÇAMENTOS[[#This Row],[Coluna1]],[1]Planilha2!$K$2:$O$130,4,0)</f>
        <v>Investimentos</v>
      </c>
      <c r="J47" s="1" t="str">
        <f>VLOOKUP(LANÇAMENTOS[[#This Row],[Coluna1]],[1]Planilha2!$K$2:$O$130,5,0)</f>
        <v>Renda Fixa</v>
      </c>
      <c r="K47" s="14">
        <v>4.13</v>
      </c>
      <c r="N47" s="1">
        <f>IF(ISNUMBER(LANÇAMENTOS[[#This Row],[Receita]]),LANÇAMENTOS[[#This Row],[Receita]],LANÇAMENTOS[[#This Row],[Transferência]])</f>
        <v>4.13</v>
      </c>
      <c r="R47" s="1" t="str">
        <v>pix zord</v>
      </c>
      <c r="S47" s="1" t="str">
        <v>Receita</v>
      </c>
      <c r="T47" s="1" t="str">
        <v>PIX ROLE</v>
      </c>
    </row>
    <row r="48" spans="2:20" x14ac:dyDescent="0.25">
      <c r="B48" s="2">
        <v>45929</v>
      </c>
      <c r="C48" s="2" t="str">
        <f>UPPER(TEXT(LANÇAMENTOS[[#This Row],[Data]],"mmm"))</f>
        <v>SET</v>
      </c>
      <c r="D48" s="2" t="str">
        <f>UPPER(TEXT(LANÇAMENTOS[[#This Row],[Data]],"AAAA"))</f>
        <v>2025</v>
      </c>
      <c r="E48" s="1" t="s">
        <v>58</v>
      </c>
      <c r="F48" s="1" t="s">
        <v>5</v>
      </c>
      <c r="G48" s="1" t="s">
        <v>28</v>
      </c>
      <c r="H48" s="1" t="str">
        <f>LANÇAMENTOS[[#This Row],[Categoria]]&amp;"-"&amp;LANÇAMENTOS[[#This Row],[Descrição]]</f>
        <v>PIX ROLE-pix pedrinho</v>
      </c>
      <c r="I48" s="1" t="str">
        <f>VLOOKUP(LANÇAMENTOS[[#This Row],[Coluna1]],[1]Planilha2!$K$2:$O$130,4,0)</f>
        <v>Lazer</v>
      </c>
      <c r="J48" s="1" t="str">
        <f>VLOOKUP(LANÇAMENTOS[[#This Row],[Coluna1]],[1]Planilha2!$K$2:$O$130,5,0)</f>
        <v>Role</v>
      </c>
      <c r="K48" s="14">
        <v>12</v>
      </c>
      <c r="N48" s="1">
        <f>IF(ISNUMBER(LANÇAMENTOS[[#This Row],[Receita]]),LANÇAMENTOS[[#This Row],[Receita]],LANÇAMENTOS[[#This Row],[Transferência]])</f>
        <v>12</v>
      </c>
      <c r="R48" s="1" t="str">
        <v>borda - bar</v>
      </c>
      <c r="S48" s="1" t="str">
        <v>Despesa</v>
      </c>
      <c r="T48" s="1" t="str">
        <v>LAZER</v>
      </c>
    </row>
    <row r="49" spans="2:20" x14ac:dyDescent="0.25">
      <c r="B49" s="2">
        <v>45930</v>
      </c>
      <c r="C49" s="2" t="str">
        <f>UPPER(TEXT(LANÇAMENTOS[[#This Row],[Data]],"mmm"))</f>
        <v>SET</v>
      </c>
      <c r="D49" s="2" t="str">
        <f>UPPER(TEXT(LANÇAMENTOS[[#This Row],[Data]],"AAAA"))</f>
        <v>2025</v>
      </c>
      <c r="E49" s="1" t="s">
        <v>60</v>
      </c>
      <c r="F49" s="1" t="s">
        <v>4</v>
      </c>
      <c r="G49" s="1" t="s">
        <v>46</v>
      </c>
      <c r="H49" s="1" t="str">
        <f>LANÇAMENTOS[[#This Row],[Categoria]]&amp;"-"&amp;LANÇAMENTOS[[#This Row],[Descrição]]</f>
        <v>CUIDADOS PESSOAIS-DENTISTA</v>
      </c>
      <c r="I49" s="1" t="str">
        <f>VLOOKUP(LANÇAMENTOS[[#This Row],[Coluna1]],[1]Planilha2!$K$2:$O$130,4,0)</f>
        <v>Saúde</v>
      </c>
      <c r="J49" s="1" t="str">
        <f>VLOOKUP(LANÇAMENTOS[[#This Row],[Coluna1]],[1]Planilha2!$K$2:$O$130,5,0)</f>
        <v>Dentista</v>
      </c>
      <c r="L49" s="14">
        <v>245</v>
      </c>
      <c r="N49" s="1">
        <f>IF(ISNUMBER(LANÇAMENTOS[[#This Row],[Receita]]),LANÇAMENTOS[[#This Row],[Receita]],LANÇAMENTOS[[#This Row],[Transferência]])</f>
        <v>245</v>
      </c>
      <c r="R49" s="1" t="str">
        <v>pix hamburguer guide</v>
      </c>
      <c r="S49" s="1" t="str">
        <v>Receita</v>
      </c>
      <c r="T49" s="1" t="str">
        <v>PIX ROLE</v>
      </c>
    </row>
    <row r="50" spans="2:20" x14ac:dyDescent="0.25">
      <c r="B50" s="2">
        <v>45933</v>
      </c>
      <c r="C50" s="2" t="str">
        <f>UPPER(TEXT(LANÇAMENTOS[[#This Row],[Data]],"mmm"))</f>
        <v>OUT</v>
      </c>
      <c r="D50" s="2" t="str">
        <f>UPPER(TEXT(LANÇAMENTOS[[#This Row],[Data]],"AAAA"))</f>
        <v>2025</v>
      </c>
      <c r="E50" s="1">
        <v>99</v>
      </c>
      <c r="F50" s="1" t="s">
        <v>4</v>
      </c>
      <c r="G50" s="1" t="s">
        <v>35</v>
      </c>
      <c r="H50" s="1" t="str">
        <f>LANÇAMENTOS[[#This Row],[Categoria]]&amp;"-"&amp;LANÇAMENTOS[[#This Row],[Descrição]]</f>
        <v>TRANSPORTE-99</v>
      </c>
      <c r="I50" s="1" t="str">
        <f>VLOOKUP(LANÇAMENTOS[[#This Row],[Coluna1]],[1]Planilha2!$K$2:$O$130,4,0)</f>
        <v>Transporte</v>
      </c>
      <c r="J50" s="1" t="str">
        <f>VLOOKUP(LANÇAMENTOS[[#This Row],[Coluna1]],[1]Planilha2!$K$2:$O$130,5,0)</f>
        <v>Uber/táxi</v>
      </c>
      <c r="L50" s="14">
        <v>70</v>
      </c>
      <c r="N50" s="1">
        <f>IF(ISNUMBER(LANÇAMENTOS[[#This Row],[Receita]]),LANÇAMENTOS[[#This Row],[Receita]],LANÇAMENTOS[[#This Row],[Transferência]])</f>
        <v>70</v>
      </c>
      <c r="R50" s="1" t="str">
        <v>spyads - mkt</v>
      </c>
      <c r="S50" s="1" t="str">
        <v>Despesa</v>
      </c>
      <c r="T50" s="1" t="str">
        <v>MARKETING</v>
      </c>
    </row>
    <row r="51" spans="2:20" x14ac:dyDescent="0.25">
      <c r="B51" s="2">
        <v>45934</v>
      </c>
      <c r="C51" s="2" t="str">
        <f>UPPER(TEXT(LANÇAMENTOS[[#This Row],[Data]],"mmm"))</f>
        <v>OUT</v>
      </c>
      <c r="D51" s="2" t="str">
        <f>UPPER(TEXT(LANÇAMENTOS[[#This Row],[Data]],"AAAA"))</f>
        <v>2025</v>
      </c>
      <c r="E51" s="1">
        <v>99</v>
      </c>
      <c r="F51" s="1" t="s">
        <v>4</v>
      </c>
      <c r="G51" s="1" t="s">
        <v>35</v>
      </c>
      <c r="H51" s="1" t="str">
        <f>LANÇAMENTOS[[#This Row],[Categoria]]&amp;"-"&amp;LANÇAMENTOS[[#This Row],[Descrição]]</f>
        <v>TRANSPORTE-99</v>
      </c>
      <c r="I51" s="1" t="str">
        <f>VLOOKUP(LANÇAMENTOS[[#This Row],[Coluna1]],[1]Planilha2!$K$2:$O$130,4,0)</f>
        <v>Transporte</v>
      </c>
      <c r="J51" s="1" t="str">
        <f>VLOOKUP(LANÇAMENTOS[[#This Row],[Coluna1]],[1]Planilha2!$K$2:$O$130,5,0)</f>
        <v>Uber/táxi</v>
      </c>
      <c r="L51" s="14">
        <v>49.7</v>
      </c>
      <c r="N51" s="1">
        <f>IF(ISNUMBER(LANÇAMENTOS[[#This Row],[Receita]]),LANÇAMENTOS[[#This Row],[Receita]],LANÇAMENTOS[[#This Row],[Transferência]])</f>
        <v>49.7</v>
      </c>
      <c r="R51" s="1" t="str">
        <v>flores nati</v>
      </c>
      <c r="S51" s="1" t="str">
        <v>Despesa</v>
      </c>
      <c r="T51" s="1" t="str">
        <v>NATI</v>
      </c>
    </row>
    <row r="52" spans="2:20" x14ac:dyDescent="0.25">
      <c r="B52" s="2">
        <v>45935</v>
      </c>
      <c r="C52" s="2" t="str">
        <f>UPPER(TEXT(LANÇAMENTOS[[#This Row],[Data]],"mmm"))</f>
        <v>OUT</v>
      </c>
      <c r="D52" s="2" t="str">
        <f>UPPER(TEXT(LANÇAMENTOS[[#This Row],[Data]],"AAAA"))</f>
        <v>2025</v>
      </c>
      <c r="E52" s="1">
        <v>99</v>
      </c>
      <c r="F52" s="1" t="s">
        <v>4</v>
      </c>
      <c r="G52" s="1" t="s">
        <v>35</v>
      </c>
      <c r="H52" s="1" t="str">
        <f>LANÇAMENTOS[[#This Row],[Categoria]]&amp;"-"&amp;LANÇAMENTOS[[#This Row],[Descrição]]</f>
        <v>TRANSPORTE-99</v>
      </c>
      <c r="I52" s="1" t="str">
        <f>VLOOKUP(LANÇAMENTOS[[#This Row],[Coluna1]],[1]Planilha2!$K$2:$O$130,4,0)</f>
        <v>Transporte</v>
      </c>
      <c r="J52" s="1" t="str">
        <f>VLOOKUP(LANÇAMENTOS[[#This Row],[Coluna1]],[1]Planilha2!$K$2:$O$130,5,0)</f>
        <v>Uber/táxi</v>
      </c>
      <c r="L52" s="14">
        <v>79.61</v>
      </c>
      <c r="N52" s="1">
        <f>IF(ISNUMBER(LANÇAMENTOS[[#This Row],[Receita]]),LANÇAMENTOS[[#This Row],[Receita]],LANÇAMENTOS[[#This Row],[Transferência]])</f>
        <v>79.61</v>
      </c>
      <c r="R52" s="1" t="str">
        <v>presente cabral</v>
      </c>
      <c r="S52" s="1" t="str">
        <v>Despesa</v>
      </c>
      <c r="T52" s="1" t="str">
        <v>LAZER</v>
      </c>
    </row>
    <row r="53" spans="2:20" x14ac:dyDescent="0.25">
      <c r="B53" s="2">
        <v>45940</v>
      </c>
      <c r="C53" s="2" t="str">
        <f>UPPER(TEXT(LANÇAMENTOS[[#This Row],[Data]],"mmm"))</f>
        <v>OUT</v>
      </c>
      <c r="D53" s="2" t="str">
        <f>UPPER(TEXT(LANÇAMENTOS[[#This Row],[Data]],"AAAA"))</f>
        <v>2025</v>
      </c>
      <c r="E53" s="1" t="s">
        <v>64</v>
      </c>
      <c r="F53" s="1" t="s">
        <v>4</v>
      </c>
      <c r="G53" s="1" t="s">
        <v>27</v>
      </c>
      <c r="H53" s="1" t="str">
        <f>LANÇAMENTOS[[#This Row],[Categoria]]&amp;"-"&amp;LANÇAMENTOS[[#This Row],[Descrição]]</f>
        <v>LAZER-gastos cartao</v>
      </c>
      <c r="I53" s="1" t="str">
        <f>VLOOKUP(LANÇAMENTOS[[#This Row],[Coluna1]],[1]Planilha2!$K$2:$O$130,4,0)</f>
        <v>Cartão</v>
      </c>
      <c r="J53" s="1" t="str">
        <f>VLOOKUP(LANÇAMENTOS[[#This Row],[Coluna1]],[1]Planilha2!$K$2:$O$130,5,0)</f>
        <v>-</v>
      </c>
      <c r="L53" s="14">
        <v>124.89</v>
      </c>
      <c r="N53" s="1">
        <f>IF(ISNUMBER(LANÇAMENTOS[[#This Row],[Receita]]),LANÇAMENTOS[[#This Row],[Receita]],LANÇAMENTOS[[#This Row],[Transferência]])</f>
        <v>124.89</v>
      </c>
      <c r="R53" s="1" t="str">
        <v>blacktag</v>
      </c>
      <c r="S53" s="1" t="str">
        <v>Despesa</v>
      </c>
      <c r="T53" s="1" t="str">
        <v>LAZER</v>
      </c>
    </row>
    <row r="54" spans="2:20" x14ac:dyDescent="0.25">
      <c r="B54" s="2">
        <v>45940</v>
      </c>
      <c r="C54" s="2" t="str">
        <f>UPPER(TEXT(LANÇAMENTOS[[#This Row],[Data]],"mmm"))</f>
        <v>OUT</v>
      </c>
      <c r="D54" s="2" t="str">
        <f>UPPER(TEXT(LANÇAMENTOS[[#This Row],[Data]],"AAAA"))</f>
        <v>2025</v>
      </c>
      <c r="E54" s="1" t="s">
        <v>55</v>
      </c>
      <c r="F54" s="1" t="s">
        <v>4</v>
      </c>
      <c r="G54" s="1" t="s">
        <v>56</v>
      </c>
      <c r="H54" s="1" t="str">
        <f>LANÇAMENTOS[[#This Row],[Categoria]]&amp;"-"&amp;LANÇAMENTOS[[#This Row],[Descrição]]</f>
        <v>APARTAMENTO-Apartamento</v>
      </c>
      <c r="I54" s="1" t="str">
        <f>VLOOKUP(LANÇAMENTOS[[#This Row],[Coluna1]],[1]Planilha2!$K$2:$O$130,4,0)</f>
        <v>Moradia</v>
      </c>
      <c r="J54" s="1" t="str">
        <f>VLOOKUP(LANÇAMENTOS[[#This Row],[Coluna1]],[1]Planilha2!$K$2:$O$130,5,0)</f>
        <v>Parcela apto</v>
      </c>
      <c r="L54" s="14">
        <v>1399.8</v>
      </c>
      <c r="N54" s="1">
        <f>IF(ISNUMBER(LANÇAMENTOS[[#This Row],[Receita]]),LANÇAMENTOS[[#This Row],[Receita]],LANÇAMENTOS[[#This Row],[Transferência]])</f>
        <v>1399.8</v>
      </c>
      <c r="R54" s="1" t="str">
        <v>vans</v>
      </c>
      <c r="S54" s="1" t="str">
        <v>Despesa</v>
      </c>
      <c r="T54" s="1" t="str">
        <v>CUIDADOS PESSOAIS</v>
      </c>
    </row>
    <row r="55" spans="2:20" x14ac:dyDescent="0.25">
      <c r="B55" s="2">
        <v>45940</v>
      </c>
      <c r="C55" s="2" t="str">
        <f>UPPER(TEXT(LANÇAMENTOS[[#This Row],[Data]],"mmm"))</f>
        <v>OUT</v>
      </c>
      <c r="D55" s="2" t="str">
        <f>UPPER(TEXT(LANÇAMENTOS[[#This Row],[Data]],"AAAA"))</f>
        <v>2025</v>
      </c>
      <c r="E55" s="1" t="s">
        <v>61</v>
      </c>
      <c r="F55" s="1" t="s">
        <v>4</v>
      </c>
      <c r="G55" s="1" t="s">
        <v>33</v>
      </c>
      <c r="H55" s="1" t="str">
        <f>LANÇAMENTOS[[#This Row],[Categoria]]&amp;"-"&amp;LANÇAMENTOS[[#This Row],[Descrição]]</f>
        <v>ALIMENTAÇÃO-ifood</v>
      </c>
      <c r="I55" s="1" t="str">
        <f>VLOOKUP(LANÇAMENTOS[[#This Row],[Coluna1]],[1]Planilha2!$K$2:$O$130,4,0)</f>
        <v>Alimentação</v>
      </c>
      <c r="J55" s="1" t="str">
        <f>VLOOKUP(LANÇAMENTOS[[#This Row],[Coluna1]],[1]Planilha2!$K$2:$O$130,5,0)</f>
        <v>Delivery</v>
      </c>
      <c r="L55" s="14">
        <v>235.28</v>
      </c>
      <c r="N55" s="1">
        <f>IF(ISNUMBER(LANÇAMENTOS[[#This Row],[Receita]]),LANÇAMENTOS[[#This Row],[Receita]],LANÇAMENTOS[[#This Row],[Transferência]])</f>
        <v>235.28</v>
      </c>
      <c r="R55" s="1" t="str">
        <v>aramis</v>
      </c>
      <c r="S55" s="1" t="str">
        <v>Despesa</v>
      </c>
      <c r="T55" s="1" t="str">
        <v>CUIDADOS PESSOAIS</v>
      </c>
    </row>
    <row r="56" spans="2:20" x14ac:dyDescent="0.25">
      <c r="B56" s="2">
        <v>45941</v>
      </c>
      <c r="C56" s="2" t="str">
        <f>UPPER(TEXT(LANÇAMENTOS[[#This Row],[Data]],"mmm"))</f>
        <v>OUT</v>
      </c>
      <c r="D56" s="2" t="str">
        <f>UPPER(TEXT(LANÇAMENTOS[[#This Row],[Data]],"AAAA"))</f>
        <v>2025</v>
      </c>
      <c r="E56" s="1" t="s">
        <v>34</v>
      </c>
      <c r="F56" s="1" t="s">
        <v>4</v>
      </c>
      <c r="G56" s="1" t="s">
        <v>35</v>
      </c>
      <c r="H56" s="1" t="str">
        <f>LANÇAMENTOS[[#This Row],[Categoria]]&amp;"-"&amp;LANÇAMENTOS[[#This Row],[Descrição]]</f>
        <v>TRANSPORTE-uber</v>
      </c>
      <c r="I56" s="1" t="str">
        <f>VLOOKUP(LANÇAMENTOS[[#This Row],[Coluna1]],[1]Planilha2!$K$2:$O$130,4,0)</f>
        <v>Transporte</v>
      </c>
      <c r="J56" s="1" t="str">
        <f>VLOOKUP(LANÇAMENTOS[[#This Row],[Coluna1]],[1]Planilha2!$K$2:$O$130,5,0)</f>
        <v>Uber/táxi</v>
      </c>
      <c r="L56" s="14">
        <v>30.92</v>
      </c>
      <c r="N56" s="1">
        <f>IF(ISNUMBER(LANÇAMENTOS[[#This Row],[Receita]]),LANÇAMENTOS[[#This Row],[Receita]],LANÇAMENTOS[[#This Row],[Transferência]])</f>
        <v>30.92</v>
      </c>
      <c r="R56" s="1" t="str">
        <v>praia</v>
      </c>
      <c r="S56" s="1" t="str">
        <v>Despesa</v>
      </c>
      <c r="T56" s="1" t="str">
        <v>LAZER</v>
      </c>
    </row>
    <row r="57" spans="2:20" x14ac:dyDescent="0.25">
      <c r="B57" s="2">
        <v>45941</v>
      </c>
      <c r="C57" s="2" t="str">
        <f>UPPER(TEXT(LANÇAMENTOS[[#This Row],[Data]],"mmm"))</f>
        <v>OUT</v>
      </c>
      <c r="D57" s="2" t="str">
        <f>UPPER(TEXT(LANÇAMENTOS[[#This Row],[Data]],"AAAA"))</f>
        <v>2025</v>
      </c>
      <c r="E57" s="1" t="s">
        <v>62</v>
      </c>
      <c r="F57" s="1" t="s">
        <v>4</v>
      </c>
      <c r="G57" s="1" t="s">
        <v>27</v>
      </c>
      <c r="H57" s="1" t="str">
        <f>LANÇAMENTOS[[#This Row],[Categoria]]&amp;"-"&amp;LANÇAMENTOS[[#This Row],[Descrição]]</f>
        <v>LAZER-banca</v>
      </c>
      <c r="I57" s="1" t="str">
        <f>VLOOKUP(LANÇAMENTOS[[#This Row],[Coluna1]],[1]Planilha2!$K$2:$O$130,4,0)</f>
        <v>Lazer</v>
      </c>
      <c r="J57" s="1" t="str">
        <f>VLOOKUP(LANÇAMENTOS[[#This Row],[Coluna1]],[1]Planilha2!$K$2:$O$130,5,0)</f>
        <v>Banca</v>
      </c>
      <c r="L57" s="14">
        <v>140</v>
      </c>
      <c r="N57" s="1">
        <f>IF(ISNUMBER(LANÇAMENTOS[[#This Row],[Receita]]),LANÇAMENTOS[[#This Row],[Receita]],LANÇAMENTOS[[#This Row],[Transferência]])</f>
        <v>140</v>
      </c>
      <c r="R57" s="1" t="str">
        <v>pix nati</v>
      </c>
      <c r="S57" s="1" t="str">
        <v>Despesa</v>
      </c>
      <c r="T57" s="1" t="str">
        <v>PIX ROLE</v>
      </c>
    </row>
    <row r="58" spans="2:20" x14ac:dyDescent="0.25">
      <c r="B58" s="2">
        <v>45942</v>
      </c>
      <c r="C58" s="2" t="str">
        <f>UPPER(TEXT(LANÇAMENTOS[[#This Row],[Data]],"mmm"))</f>
        <v>OUT</v>
      </c>
      <c r="D58" s="2" t="str">
        <f>UPPER(TEXT(LANÇAMENTOS[[#This Row],[Data]],"AAAA"))</f>
        <v>2025</v>
      </c>
      <c r="E58" s="1" t="s">
        <v>53</v>
      </c>
      <c r="F58" s="1" t="s">
        <v>4</v>
      </c>
      <c r="G58" s="1" t="s">
        <v>46</v>
      </c>
      <c r="H58" s="1" t="str">
        <f>LANÇAMENTOS[[#This Row],[Categoria]]&amp;"-"&amp;LANÇAMENTOS[[#This Row],[Descrição]]</f>
        <v>CUIDADOS PESSOAIS-farmacia</v>
      </c>
      <c r="I58" s="1" t="str">
        <f>VLOOKUP(LANÇAMENTOS[[#This Row],[Coluna1]],[1]Planilha2!$K$2:$O$130,4,0)</f>
        <v>Saúde</v>
      </c>
      <c r="J58" s="1" t="str">
        <f>VLOOKUP(LANÇAMENTOS[[#This Row],[Coluna1]],[1]Planilha2!$K$2:$O$130,5,0)</f>
        <v>Farmácia</v>
      </c>
      <c r="L58" s="14">
        <v>27.74</v>
      </c>
      <c r="N58" s="1">
        <f>IF(ISNUMBER(LANÇAMENTOS[[#This Row],[Receita]]),LANÇAMENTOS[[#This Row],[Receita]],LANÇAMENTOS[[#This Row],[Transferência]])</f>
        <v>27.74</v>
      </c>
      <c r="R58" s="1" t="str">
        <v>pix renan</v>
      </c>
      <c r="S58" s="1" t="str">
        <v>Despesa</v>
      </c>
      <c r="T58" s="1" t="str">
        <v>PIX ROLE</v>
      </c>
    </row>
    <row r="59" spans="2:20" x14ac:dyDescent="0.25">
      <c r="B59" s="2">
        <v>45942</v>
      </c>
      <c r="C59" s="2" t="str">
        <f>UPPER(TEXT(LANÇAMENTOS[[#This Row],[Data]],"mmm"))</f>
        <v>OUT</v>
      </c>
      <c r="D59" s="2" t="str">
        <f>UPPER(TEXT(LANÇAMENTOS[[#This Row],[Data]],"AAAA"))</f>
        <v>2025</v>
      </c>
      <c r="E59" s="1" t="s">
        <v>32</v>
      </c>
      <c r="F59" s="1" t="s">
        <v>4</v>
      </c>
      <c r="G59" s="1" t="s">
        <v>33</v>
      </c>
      <c r="H59" s="1" t="str">
        <f>LANÇAMENTOS[[#This Row],[Categoria]]&amp;"-"&amp;LANÇAMENTOS[[#This Row],[Descrição]]</f>
        <v>ALIMENTAÇÃO-Ifood</v>
      </c>
      <c r="I59" s="1" t="str">
        <f>VLOOKUP(LANÇAMENTOS[[#This Row],[Coluna1]],[1]Planilha2!$K$2:$O$130,4,0)</f>
        <v>Alimentação</v>
      </c>
      <c r="J59" s="1" t="str">
        <f>VLOOKUP(LANÇAMENTOS[[#This Row],[Coluna1]],[1]Planilha2!$K$2:$O$130,5,0)</f>
        <v>Delivery</v>
      </c>
      <c r="L59" s="14">
        <v>159.38</v>
      </c>
      <c r="N59" s="1">
        <f>IF(ISNUMBER(LANÇAMENTOS[[#This Row],[Receita]]),LANÇAMENTOS[[#This Row],[Receita]],LANÇAMENTOS[[#This Row],[Transferência]])</f>
        <v>159.38</v>
      </c>
      <c r="R59" s="1" t="str">
        <v>13o salario</v>
      </c>
      <c r="S59" s="1" t="str">
        <v>Receita</v>
      </c>
      <c r="T59" s="1" t="str">
        <v>SALÁRIO</v>
      </c>
    </row>
    <row r="60" spans="2:20" x14ac:dyDescent="0.25">
      <c r="B60" s="2">
        <v>45943</v>
      </c>
      <c r="C60" s="2" t="str">
        <f>UPPER(TEXT(LANÇAMENTOS[[#This Row],[Data]],"mmm"))</f>
        <v>OUT</v>
      </c>
      <c r="D60" s="2" t="str">
        <f>UPPER(TEXT(LANÇAMENTOS[[#This Row],[Data]],"AAAA"))</f>
        <v>2025</v>
      </c>
      <c r="E60" s="1" t="s">
        <v>63</v>
      </c>
      <c r="F60" s="1" t="s">
        <v>4</v>
      </c>
      <c r="G60" s="1" t="s">
        <v>27</v>
      </c>
      <c r="H60" s="1" t="str">
        <f>LANÇAMENTOS[[#This Row],[Categoria]]&amp;"-"&amp;LANÇAMENTOS[[#This Row],[Descrição]]</f>
        <v>LAZER-pix</v>
      </c>
      <c r="I60" s="1" t="str">
        <f>VLOOKUP(LANÇAMENTOS[[#This Row],[Coluna1]],[1]Planilha2!$K$2:$O$130,4,0)</f>
        <v>Lazer</v>
      </c>
      <c r="J60" s="1" t="str">
        <f>VLOOKUP(LANÇAMENTOS[[#This Row],[Coluna1]],[1]Planilha2!$K$2:$O$130,5,0)</f>
        <v>Pix</v>
      </c>
      <c r="L60" s="14">
        <v>55</v>
      </c>
      <c r="N60" s="1">
        <f>IF(ISNUMBER(LANÇAMENTOS[[#This Row],[Receita]]),LANÇAMENTOS[[#This Row],[Receita]],LANÇAMENTOS[[#This Row],[Transferência]])</f>
        <v>55</v>
      </c>
      <c r="R60" s="1" t="str">
        <v>investimento</v>
      </c>
      <c r="S60" s="1" t="str">
        <v>Receita</v>
      </c>
      <c r="T60" s="1" t="str">
        <v>INVESTIMENTO</v>
      </c>
    </row>
    <row r="61" spans="2:20" x14ac:dyDescent="0.25">
      <c r="B61" s="2">
        <v>45945</v>
      </c>
      <c r="C61" s="2" t="str">
        <f>UPPER(TEXT(LANÇAMENTOS[[#This Row],[Data]],"mmm"))</f>
        <v>OUT</v>
      </c>
      <c r="D61" s="2" t="str">
        <f>UPPER(TEXT(LANÇAMENTOS[[#This Row],[Data]],"AAAA"))</f>
        <v>2025</v>
      </c>
      <c r="E61" s="1" t="s">
        <v>63</v>
      </c>
      <c r="F61" s="1" t="s">
        <v>4</v>
      </c>
      <c r="G61" s="1" t="s">
        <v>28</v>
      </c>
      <c r="H61" s="1" t="str">
        <f>LANÇAMENTOS[[#This Row],[Categoria]]&amp;"-"&amp;LANÇAMENTOS[[#This Row],[Descrição]]</f>
        <v>PIX ROLE-pix</v>
      </c>
      <c r="I61" s="1" t="str">
        <f>VLOOKUP(LANÇAMENTOS[[#This Row],[Coluna1]],[1]Planilha2!$K$2:$O$130,4,0)</f>
        <v>Lazer</v>
      </c>
      <c r="J61" s="1" t="str">
        <f>VLOOKUP(LANÇAMENTOS[[#This Row],[Coluna1]],[1]Planilha2!$K$2:$O$130,5,0)</f>
        <v>Role</v>
      </c>
      <c r="L61" s="14">
        <v>66</v>
      </c>
      <c r="N61" s="1">
        <f>IF(ISNUMBER(LANÇAMENTOS[[#This Row],[Receita]]),LANÇAMENTOS[[#This Row],[Receita]],LANÇAMENTOS[[#This Row],[Transferência]])</f>
        <v>66</v>
      </c>
      <c r="R61" s="1" t="str">
        <v>Presente nati</v>
      </c>
      <c r="S61" s="1" t="str">
        <v>Despesa</v>
      </c>
      <c r="T61" s="1" t="str">
        <v>NATI</v>
      </c>
    </row>
    <row r="62" spans="2:20" x14ac:dyDescent="0.25">
      <c r="B62" s="2">
        <v>45947</v>
      </c>
      <c r="C62" s="2" t="str">
        <f>UPPER(TEXT(LANÇAMENTOS[[#This Row],[Data]],"mmm"))</f>
        <v>OUT</v>
      </c>
      <c r="D62" s="2" t="str">
        <f>UPPER(TEXT(LANÇAMENTOS[[#This Row],[Data]],"AAAA"))</f>
        <v>2025</v>
      </c>
      <c r="E62" s="1" t="s">
        <v>66</v>
      </c>
      <c r="F62" s="1" t="s">
        <v>4</v>
      </c>
      <c r="G62" s="1" t="s">
        <v>46</v>
      </c>
      <c r="H62" s="1" t="str">
        <f>LANÇAMENTOS[[#This Row],[Categoria]]&amp;"-"&amp;LANÇAMENTOS[[#This Row],[Descrição]]</f>
        <v>CUIDADOS PESSOAIS-cabelo</v>
      </c>
      <c r="I62" s="1" t="str">
        <f>VLOOKUP(LANÇAMENTOS[[#This Row],[Coluna1]],[1]Planilha2!$K$2:$O$130,4,0)</f>
        <v>Cuidados Pessoais</v>
      </c>
      <c r="J62" s="1" t="str">
        <f>VLOOKUP(LANÇAMENTOS[[#This Row],[Coluna1]],[1]Planilha2!$K$2:$O$130,5,0)</f>
        <v>Barbearia</v>
      </c>
      <c r="L62" s="14">
        <v>115</v>
      </c>
      <c r="N62" s="1">
        <f>IF(ISNUMBER(LANÇAMENTOS[[#This Row],[Receita]]),LANÇAMENTOS[[#This Row],[Receita]],LANÇAMENTOS[[#This Row],[Transferência]])</f>
        <v>115</v>
      </c>
      <c r="R62" s="1" t="str">
        <v>posto</v>
      </c>
      <c r="S62" s="1" t="str">
        <v>Despesa</v>
      </c>
      <c r="T62" s="1" t="str">
        <v>LAZER</v>
      </c>
    </row>
    <row r="63" spans="2:20" x14ac:dyDescent="0.25">
      <c r="B63" s="2">
        <v>45947</v>
      </c>
      <c r="C63" s="2" t="str">
        <f>UPPER(TEXT(LANÇAMENTOS[[#This Row],[Data]],"mmm"))</f>
        <v>OUT</v>
      </c>
      <c r="D63" s="2" t="str">
        <f>UPPER(TEXT(LANÇAMENTOS[[#This Row],[Data]],"AAAA"))</f>
        <v>2025</v>
      </c>
      <c r="E63" s="1" t="s">
        <v>34</v>
      </c>
      <c r="F63" s="1" t="s">
        <v>4</v>
      </c>
      <c r="G63" s="1" t="s">
        <v>35</v>
      </c>
      <c r="H63" s="1" t="str">
        <f>LANÇAMENTOS[[#This Row],[Categoria]]&amp;"-"&amp;LANÇAMENTOS[[#This Row],[Descrição]]</f>
        <v>TRANSPORTE-uber</v>
      </c>
      <c r="I63" s="1" t="str">
        <f>VLOOKUP(LANÇAMENTOS[[#This Row],[Coluna1]],[1]Planilha2!$K$2:$O$130,4,0)</f>
        <v>Transporte</v>
      </c>
      <c r="J63" s="1" t="str">
        <f>VLOOKUP(LANÇAMENTOS[[#This Row],[Coluna1]],[1]Planilha2!$K$2:$O$130,5,0)</f>
        <v>Uber/táxi</v>
      </c>
      <c r="L63" s="14">
        <v>38.58</v>
      </c>
      <c r="N63" s="1">
        <f>IF(ISNUMBER(LANÇAMENTOS[[#This Row],[Receita]]),LANÇAMENTOS[[#This Row],[Receita]],LANÇAMENTOS[[#This Row],[Transferência]])</f>
        <v>38.58</v>
      </c>
      <c r="R63" s="1" t="str">
        <v>posto</v>
      </c>
      <c r="S63" s="1" t="str">
        <v>Despesa</v>
      </c>
      <c r="T63" s="1" t="str">
        <v>Gasolina</v>
      </c>
    </row>
    <row r="64" spans="2:20" x14ac:dyDescent="0.25">
      <c r="B64" s="2">
        <v>45948</v>
      </c>
      <c r="C64" s="2" t="str">
        <f>UPPER(TEXT(LANÇAMENTOS[[#This Row],[Data]],"mmm"))</f>
        <v>OUT</v>
      </c>
      <c r="D64" s="2" t="str">
        <f>UPPER(TEXT(LANÇAMENTOS[[#This Row],[Data]],"AAAA"))</f>
        <v>2025</v>
      </c>
      <c r="E64" s="1" t="s">
        <v>67</v>
      </c>
      <c r="F64" s="1" t="s">
        <v>4</v>
      </c>
      <c r="G64" s="1" t="s">
        <v>27</v>
      </c>
      <c r="H64" s="1" t="str">
        <f>LANÇAMENTOS[[#This Row],[Categoria]]&amp;"-"&amp;LANÇAMENTOS[[#This Row],[Descrição]]</f>
        <v>LAZER-bar</v>
      </c>
      <c r="I64" s="1" t="str">
        <f>VLOOKUP(LANÇAMENTOS[[#This Row],[Coluna1]],[1]Planilha2!$K$2:$O$130,4,0)</f>
        <v>Lazer</v>
      </c>
      <c r="J64" s="1" t="str">
        <f>VLOOKUP(LANÇAMENTOS[[#This Row],[Coluna1]],[1]Planilha2!$K$2:$O$130,5,0)</f>
        <v>Bar</v>
      </c>
      <c r="L64" s="14">
        <v>59.4</v>
      </c>
      <c r="N64" s="1">
        <f>IF(ISNUMBER(LANÇAMENTOS[[#This Row],[Receita]]),LANÇAMENTOS[[#This Row],[Receita]],LANÇAMENTOS[[#This Row],[Transferência]])</f>
        <v>59.4</v>
      </c>
      <c r="R64" s="1" t="str">
        <v>uber franco pix</v>
      </c>
      <c r="S64" s="1" t="str">
        <v>Receita</v>
      </c>
      <c r="T64" s="1" t="str">
        <v>PIX ROLE</v>
      </c>
    </row>
    <row r="65" spans="2:20" x14ac:dyDescent="0.25">
      <c r="B65" s="2">
        <v>45949</v>
      </c>
      <c r="C65" s="2" t="str">
        <f>UPPER(TEXT(LANÇAMENTOS[[#This Row],[Data]],"mmm"))</f>
        <v>OUT</v>
      </c>
      <c r="D65" s="2" t="str">
        <f>UPPER(TEXT(LANÇAMENTOS[[#This Row],[Data]],"AAAA"))</f>
        <v>2025</v>
      </c>
      <c r="E65" s="1" t="s">
        <v>34</v>
      </c>
      <c r="F65" s="1" t="s">
        <v>4</v>
      </c>
      <c r="G65" s="1" t="s">
        <v>35</v>
      </c>
      <c r="H65" s="1" t="str">
        <f>LANÇAMENTOS[[#This Row],[Categoria]]&amp;"-"&amp;LANÇAMENTOS[[#This Row],[Descrição]]</f>
        <v>TRANSPORTE-uber</v>
      </c>
      <c r="I65" s="1" t="str">
        <f>VLOOKUP(LANÇAMENTOS[[#This Row],[Coluna1]],[1]Planilha2!$K$2:$O$130,4,0)</f>
        <v>Transporte</v>
      </c>
      <c r="J65" s="1" t="str">
        <f>VLOOKUP(LANÇAMENTOS[[#This Row],[Coluna1]],[1]Planilha2!$K$2:$O$130,5,0)</f>
        <v>Uber/táxi</v>
      </c>
      <c r="L65" s="14">
        <v>75.97</v>
      </c>
      <c r="N65" s="1">
        <f>IF(ISNUMBER(LANÇAMENTOS[[#This Row],[Receita]]),LANÇAMENTOS[[#This Row],[Receita]],LANÇAMENTOS[[#This Row],[Transferência]])</f>
        <v>75.97</v>
      </c>
      <c r="R65" s="1" t="str">
        <v>aplicação CDB</v>
      </c>
      <c r="S65" s="1" t="str">
        <v>investimento</v>
      </c>
      <c r="T65" s="1" t="str">
        <v>INVESTIMENTO</v>
      </c>
    </row>
    <row r="66" spans="2:20" x14ac:dyDescent="0.25">
      <c r="B66" s="2">
        <v>45950</v>
      </c>
      <c r="C66" s="2" t="str">
        <f>UPPER(TEXT(LANÇAMENTOS[[#This Row],[Data]],"mmm"))</f>
        <v>OUT</v>
      </c>
      <c r="D66" s="2" t="str">
        <f>UPPER(TEXT(LANÇAMENTOS[[#This Row],[Data]],"AAAA"))</f>
        <v>2025</v>
      </c>
      <c r="E66" s="1" t="s">
        <v>63</v>
      </c>
      <c r="F66" s="1" t="s">
        <v>4</v>
      </c>
      <c r="G66" s="1" t="s">
        <v>28</v>
      </c>
      <c r="H66" s="1" t="str">
        <f>LANÇAMENTOS[[#This Row],[Categoria]]&amp;"-"&amp;LANÇAMENTOS[[#This Row],[Descrição]]</f>
        <v>PIX ROLE-pix</v>
      </c>
      <c r="I66" s="1" t="str">
        <f>VLOOKUP(LANÇAMENTOS[[#This Row],[Coluna1]],[1]Planilha2!$K$2:$O$130,4,0)</f>
        <v>Lazer</v>
      </c>
      <c r="J66" s="1" t="str">
        <f>VLOOKUP(LANÇAMENTOS[[#This Row],[Coluna1]],[1]Planilha2!$K$2:$O$130,5,0)</f>
        <v>Role</v>
      </c>
      <c r="L66" s="14">
        <v>50</v>
      </c>
      <c r="N66" s="1">
        <f>IF(ISNUMBER(LANÇAMENTOS[[#This Row],[Receita]]),LANÇAMENTOS[[#This Row],[Receita]],LANÇAMENTOS[[#This Row],[Transferência]])</f>
        <v>50</v>
      </c>
      <c r="R66" s="1" t="str">
        <v>XPML11</v>
      </c>
      <c r="S66" s="1" t="str">
        <v>investimento</v>
      </c>
      <c r="T66" s="1" t="str">
        <v>INVESTIMENTO</v>
      </c>
    </row>
    <row r="67" spans="2:20" x14ac:dyDescent="0.25">
      <c r="B67" s="2">
        <v>45951</v>
      </c>
      <c r="C67" s="2" t="str">
        <f>UPPER(TEXT(LANÇAMENTOS[[#This Row],[Data]],"mmm"))</f>
        <v>OUT</v>
      </c>
      <c r="D67" s="2" t="str">
        <f>UPPER(TEXT(LANÇAMENTOS[[#This Row],[Data]],"AAAA"))</f>
        <v>2025</v>
      </c>
      <c r="E67" s="1" t="s">
        <v>70</v>
      </c>
      <c r="F67" s="1" t="s">
        <v>4</v>
      </c>
      <c r="G67" s="1" t="s">
        <v>28</v>
      </c>
      <c r="H67" s="1" t="str">
        <f>LANÇAMENTOS[[#This Row],[Categoria]]&amp;"-"&amp;LANÇAMENTOS[[#This Row],[Descrição]]</f>
        <v>PIX ROLE-pix leh role</v>
      </c>
      <c r="I67" s="1" t="str">
        <f>VLOOKUP(LANÇAMENTOS[[#This Row],[Coluna1]],[1]Planilha2!$K$2:$O$130,4,0)</f>
        <v>Lazer</v>
      </c>
      <c r="J67" s="1" t="str">
        <f>VLOOKUP(LANÇAMENTOS[[#This Row],[Coluna1]],[1]Planilha2!$K$2:$O$130,5,0)</f>
        <v>Role</v>
      </c>
      <c r="L67" s="14">
        <v>30</v>
      </c>
      <c r="N67" s="1">
        <f>IF(ISNUMBER(LANÇAMENTOS[[#This Row],[Receita]]),LANÇAMENTOS[[#This Row],[Receita]],LANÇAMENTOS[[#This Row],[Transferência]])</f>
        <v>30</v>
      </c>
      <c r="R67" s="1" t="str">
        <v>PVBI11</v>
      </c>
      <c r="S67" s="1" t="str">
        <v>investimento</v>
      </c>
      <c r="T67" s="1" t="str">
        <v>INVESTIMENTO</v>
      </c>
    </row>
    <row r="68" spans="2:20" x14ac:dyDescent="0.25">
      <c r="B68" s="2">
        <v>45951</v>
      </c>
      <c r="C68" s="2" t="str">
        <f>UPPER(TEXT(LANÇAMENTOS[[#This Row],[Data]],"mmm"))</f>
        <v>OUT</v>
      </c>
      <c r="D68" s="2" t="str">
        <f>UPPER(TEXT(LANÇAMENTOS[[#This Row],[Data]],"AAAA"))</f>
        <v>2025</v>
      </c>
      <c r="E68" s="1" t="s">
        <v>30</v>
      </c>
      <c r="F68" s="1" t="s">
        <v>4</v>
      </c>
      <c r="G68" s="1" t="s">
        <v>31</v>
      </c>
      <c r="H68" s="1" t="str">
        <f>LANÇAMENTOS[[#This Row],[Categoria]]&amp;"-"&amp;LANÇAMENTOS[[#This Row],[Descrição]]</f>
        <v>CARTÃO-seguro cartão</v>
      </c>
      <c r="I68" s="1" t="str">
        <f>VLOOKUP(LANÇAMENTOS[[#This Row],[Coluna1]],[1]Planilha2!$K$2:$O$130,4,0)</f>
        <v>Cartão</v>
      </c>
      <c r="J68" s="1" t="str">
        <f>VLOOKUP(LANÇAMENTOS[[#This Row],[Coluna1]],[1]Planilha2!$K$2:$O$130,5,0)</f>
        <v>Seguro</v>
      </c>
      <c r="L68" s="14">
        <v>9.99</v>
      </c>
      <c r="N68" s="1">
        <f>IF(ISNUMBER(LANÇAMENTOS[[#This Row],[Receita]]),LANÇAMENTOS[[#This Row],[Receita]],LANÇAMENTOS[[#This Row],[Transferência]])</f>
        <v>9.99</v>
      </c>
      <c r="R68" s="1" t="str">
        <v>PEROLA NEGRA - MKT</v>
      </c>
      <c r="S68" s="1" t="str">
        <v>Despesa</v>
      </c>
      <c r="T68" s="1" t="str">
        <v>MARKETING</v>
      </c>
    </row>
    <row r="69" spans="2:20" x14ac:dyDescent="0.25">
      <c r="B69" s="2">
        <v>45954</v>
      </c>
      <c r="C69" s="2" t="str">
        <f>UPPER(TEXT(LANÇAMENTOS[[#This Row],[Data]],"mmm"))</f>
        <v>OUT</v>
      </c>
      <c r="D69" s="2" t="str">
        <f>UPPER(TEXT(LANÇAMENTOS[[#This Row],[Data]],"AAAA"))</f>
        <v>2025</v>
      </c>
      <c r="E69" s="1" t="s">
        <v>69</v>
      </c>
      <c r="F69" s="1" t="s">
        <v>4</v>
      </c>
      <c r="G69" s="1" t="s">
        <v>33</v>
      </c>
      <c r="H69" s="1" t="str">
        <f>LANÇAMENTOS[[#This Row],[Categoria]]&amp;"-"&amp;LANÇAMENTOS[[#This Row],[Descrição]]</f>
        <v>ALIMENTAÇÃO-mercado</v>
      </c>
      <c r="I69" s="1" t="str">
        <f>VLOOKUP(LANÇAMENTOS[[#This Row],[Coluna1]],[1]Planilha2!$K$2:$O$130,4,0)</f>
        <v>Alimentação</v>
      </c>
      <c r="J69" s="1" t="str">
        <f>VLOOKUP(LANÇAMENTOS[[#This Row],[Coluna1]],[1]Planilha2!$K$2:$O$130,5,0)</f>
        <v>Mercado</v>
      </c>
      <c r="L69" s="14">
        <v>24.98</v>
      </c>
      <c r="N69" s="1">
        <f>IF(ISNUMBER(LANÇAMENTOS[[#This Row],[Receita]]),LANÇAMENTOS[[#This Row],[Receita]],LANÇAMENTOS[[#This Row],[Transferência]])</f>
        <v>24.98</v>
      </c>
      <c r="R69" s="1" t="str">
        <v>PIX LUCAS</v>
      </c>
      <c r="S69" s="1" t="str">
        <v>Despesa</v>
      </c>
      <c r="T69" s="1" t="str">
        <v>LAZER</v>
      </c>
    </row>
    <row r="70" spans="2:20" x14ac:dyDescent="0.25">
      <c r="B70" s="2">
        <v>45956</v>
      </c>
      <c r="C70" s="2" t="str">
        <f>UPPER(TEXT(LANÇAMENTOS[[#This Row],[Data]],"mmm"))</f>
        <v>OUT</v>
      </c>
      <c r="D70" s="2" t="str">
        <f>UPPER(TEXT(LANÇAMENTOS[[#This Row],[Data]],"AAAA"))</f>
        <v>2025</v>
      </c>
      <c r="E70" s="1" t="s">
        <v>68</v>
      </c>
      <c r="F70" s="1" t="s">
        <v>4</v>
      </c>
      <c r="G70" s="1" t="s">
        <v>27</v>
      </c>
      <c r="H70" s="1" t="str">
        <f>LANÇAMENTOS[[#This Row],[Categoria]]&amp;"-"&amp;LANÇAMENTOS[[#This Row],[Descrição]]</f>
        <v>LAZER-estacionamento</v>
      </c>
      <c r="I70" s="1" t="str">
        <f>VLOOKUP(LANÇAMENTOS[[#This Row],[Coluna1]],[1]Planilha2!$K$2:$O$130,4,0)</f>
        <v>Transporte</v>
      </c>
      <c r="J70" s="1" t="str">
        <f>VLOOKUP(LANÇAMENTOS[[#This Row],[Coluna1]],[1]Planilha2!$K$2:$O$130,5,0)</f>
        <v>Estacionamento</v>
      </c>
      <c r="L70" s="14">
        <v>20</v>
      </c>
      <c r="N70" s="1">
        <f>IF(ISNUMBER(LANÇAMENTOS[[#This Row],[Receita]]),LANÇAMENTOS[[#This Row],[Receita]],LANÇAMENTOS[[#This Row],[Transferência]])</f>
        <v>20</v>
      </c>
      <c r="R70" s="1" t="str">
        <v>Investimento FIIs</v>
      </c>
      <c r="S70" s="1" t="str">
        <v>investimento</v>
      </c>
      <c r="T70" s="1" t="str">
        <v>INVESTIMENTO</v>
      </c>
    </row>
    <row r="71" spans="2:20" x14ac:dyDescent="0.25">
      <c r="B71" s="2">
        <v>45957</v>
      </c>
      <c r="C71" s="2" t="str">
        <f>UPPER(TEXT(LANÇAMENTOS[[#This Row],[Data]],"mmm"))</f>
        <v>OUT</v>
      </c>
      <c r="D71" s="2" t="str">
        <f>UPPER(TEXT(LANÇAMENTOS[[#This Row],[Data]],"AAAA"))</f>
        <v>2025</v>
      </c>
      <c r="E71" s="1" t="s">
        <v>20</v>
      </c>
      <c r="F71" s="1" t="s">
        <v>20</v>
      </c>
      <c r="G71" s="1" t="s">
        <v>59</v>
      </c>
      <c r="H71" s="1" t="str">
        <f>LANÇAMENTOS[[#This Row],[Categoria]]&amp;"-"&amp;LANÇAMENTOS[[#This Row],[Descrição]]</f>
        <v>INVESTIMENTO-investimento</v>
      </c>
      <c r="I71" s="1" t="str">
        <f>VLOOKUP(LANÇAMENTOS[[#This Row],[Coluna1]],[1]Planilha2!$K$2:$O$130,4,0)</f>
        <v>Investimentos</v>
      </c>
      <c r="J71" s="1" t="str">
        <f>VLOOKUP(LANÇAMENTOS[[#This Row],[Coluna1]],[1]Planilha2!$K$2:$O$130,5,0)</f>
        <v>Renda Fixa</v>
      </c>
      <c r="K71" s="14">
        <v>7.11</v>
      </c>
      <c r="N71" s="1">
        <f>IF(ISNUMBER(LANÇAMENTOS[[#This Row],[Receita]]),LANÇAMENTOS[[#This Row],[Receita]],LANÇAMENTOS[[#This Row],[Transferência]])</f>
        <v>7.11</v>
      </c>
      <c r="R71" s="1" t="str">
        <v>INSIDER - ISA</v>
      </c>
      <c r="S71" s="1" t="str">
        <v>Despesa</v>
      </c>
      <c r="T71" s="1" t="str">
        <v>PRESENTE</v>
      </c>
    </row>
    <row r="72" spans="2:20" x14ac:dyDescent="0.25">
      <c r="B72" s="2">
        <v>45959</v>
      </c>
      <c r="C72" s="2" t="str">
        <f>UPPER(TEXT(LANÇAMENTOS[[#This Row],[Data]],"mmm"))</f>
        <v>OUT</v>
      </c>
      <c r="D72" s="2" t="str">
        <f>UPPER(TEXT(LANÇAMENTOS[[#This Row],[Data]],"AAAA"))</f>
        <v>2025</v>
      </c>
      <c r="E72" s="1" t="s">
        <v>63</v>
      </c>
      <c r="F72" s="1" t="s">
        <v>5</v>
      </c>
      <c r="G72" s="1" t="s">
        <v>28</v>
      </c>
      <c r="H72" s="1" t="str">
        <f>LANÇAMENTOS[[#This Row],[Categoria]]&amp;"-"&amp;LANÇAMENTOS[[#This Row],[Descrição]]</f>
        <v>PIX ROLE-pix</v>
      </c>
      <c r="I72" s="1" t="str">
        <f>VLOOKUP(LANÇAMENTOS[[#This Row],[Coluna1]],[1]Planilha2!$K$2:$O$130,4,0)</f>
        <v>Lazer</v>
      </c>
      <c r="J72" s="1" t="str">
        <f>VLOOKUP(LANÇAMENTOS[[#This Row],[Coluna1]],[1]Planilha2!$K$2:$O$130,5,0)</f>
        <v>Role</v>
      </c>
      <c r="K72" s="14">
        <v>12</v>
      </c>
      <c r="N72" s="1">
        <f>IF(ISNUMBER(LANÇAMENTOS[[#This Row],[Receita]]),LANÇAMENTOS[[#This Row],[Receita]],LANÇAMENTOS[[#This Row],[Transferência]])</f>
        <v>12</v>
      </c>
      <c r="R72" s="1" t="str">
        <v>HEAVY HOUSE</v>
      </c>
      <c r="S72" s="1" t="str">
        <v>Despesa</v>
      </c>
      <c r="T72" s="1" t="str">
        <v>LAZER</v>
      </c>
    </row>
    <row r="73" spans="2:20" x14ac:dyDescent="0.25">
      <c r="B73" s="2">
        <v>45960</v>
      </c>
      <c r="C73" s="2" t="str">
        <f>UPPER(TEXT(LANÇAMENTOS[[#This Row],[Data]],"mmm"))</f>
        <v>OUT</v>
      </c>
      <c r="D73" s="2" t="str">
        <f>UPPER(TEXT(LANÇAMENTOS[[#This Row],[Data]],"AAAA"))</f>
        <v>2025</v>
      </c>
      <c r="E73" s="1" t="s">
        <v>18</v>
      </c>
      <c r="F73" s="1" t="s">
        <v>5</v>
      </c>
      <c r="G73" s="1" t="s">
        <v>25</v>
      </c>
      <c r="H73" s="1" t="str">
        <f>LANÇAMENTOS[[#This Row],[Categoria]]&amp;"-"&amp;LANÇAMENTOS[[#This Row],[Descrição]]</f>
        <v>SALÁRIO-Salario clt</v>
      </c>
      <c r="I73" s="1" t="str">
        <f>VLOOKUP(LANÇAMENTOS[[#This Row],[Coluna1]],[1]Planilha2!$K$2:$O$130,4,0)</f>
        <v>Profissional</v>
      </c>
      <c r="J73" s="1" t="str">
        <f>VLOOKUP(LANÇAMENTOS[[#This Row],[Coluna1]],[1]Planilha2!$K$2:$O$130,5,0)</f>
        <v>Salário</v>
      </c>
      <c r="K73" s="14">
        <v>5162</v>
      </c>
      <c r="N73" s="1">
        <f>IF(ISNUMBER(LANÇAMENTOS[[#This Row],[Receita]]),LANÇAMENTOS[[#This Row],[Receita]],LANÇAMENTOS[[#This Row],[Transferência]])</f>
        <v>5162</v>
      </c>
      <c r="R73" s="1" t="str">
        <v>bar do velho</v>
      </c>
      <c r="S73" s="1" t="str">
        <v>Despesa</v>
      </c>
      <c r="T73" s="1" t="str">
        <v>LAZER</v>
      </c>
    </row>
    <row r="74" spans="2:20" x14ac:dyDescent="0.25">
      <c r="B74" s="2">
        <v>45960</v>
      </c>
      <c r="C74" s="2" t="str">
        <f>UPPER(TEXT(LANÇAMENTOS[[#This Row],[Data]],"mmm"))</f>
        <v>OUT</v>
      </c>
      <c r="D74" s="2" t="str">
        <f>UPPER(TEXT(LANÇAMENTOS[[#This Row],[Data]],"AAAA"))</f>
        <v>2025</v>
      </c>
      <c r="E74" s="1" t="s">
        <v>73</v>
      </c>
      <c r="F74" s="1" t="s">
        <v>4</v>
      </c>
      <c r="G74" s="1" t="s">
        <v>33</v>
      </c>
      <c r="H74" s="1" t="str">
        <f>LANÇAMENTOS[[#This Row],[Categoria]]&amp;"-"&amp;LANÇAMENTOS[[#This Row],[Descrição]]</f>
        <v>ALIMENTAÇÃO-nutricar</v>
      </c>
      <c r="I74" s="1" t="str">
        <f>VLOOKUP(LANÇAMENTOS[[#This Row],[Coluna1]],[1]Planilha2!$K$2:$O$130,4,0)</f>
        <v>Alimentação</v>
      </c>
      <c r="J74" s="1" t="str">
        <f>VLOOKUP(LANÇAMENTOS[[#This Row],[Coluna1]],[1]Planilha2!$K$2:$O$130,5,0)</f>
        <v>Mercadinho</v>
      </c>
      <c r="L74" s="14">
        <v>18.989999999999998</v>
      </c>
      <c r="N74" s="1">
        <f>IF(ISNUMBER(LANÇAMENTOS[[#This Row],[Receita]]),LANÇAMENTOS[[#This Row],[Receita]],LANÇAMENTOS[[#This Row],[Transferência]])</f>
        <v>18.989999999999998</v>
      </c>
      <c r="R74" s="1" t="str">
        <v>WRLD11</v>
      </c>
      <c r="S74" s="1" t="str">
        <v>investimento</v>
      </c>
      <c r="T74" s="1" t="str">
        <v>INVESTIMENTO</v>
      </c>
    </row>
    <row r="75" spans="2:20" x14ac:dyDescent="0.25">
      <c r="B75" s="2">
        <v>45960</v>
      </c>
      <c r="C75" s="2" t="str">
        <f>UPPER(TEXT(LANÇAMENTOS[[#This Row],[Data]],"mmm"))</f>
        <v>OUT</v>
      </c>
      <c r="D75" s="2" t="str">
        <f>UPPER(TEXT(LANÇAMENTOS[[#This Row],[Data]],"AAAA"))</f>
        <v>2025</v>
      </c>
      <c r="E75" s="1" t="s">
        <v>19</v>
      </c>
      <c r="F75" s="1" t="s">
        <v>20</v>
      </c>
      <c r="G75" s="1" t="s">
        <v>21</v>
      </c>
      <c r="H75" s="1" t="str">
        <f>LANÇAMENTOS[[#This Row],[Categoria]]&amp;"-"&amp;LANÇAMENTOS[[#This Row],[Descrição]]</f>
        <v>PREV. PRIVADA-prev privada</v>
      </c>
      <c r="I75" s="1" t="str">
        <f>VLOOKUP(LANÇAMENTOS[[#This Row],[Coluna1]],[1]Planilha2!$K$2:$O$130,4,0)</f>
        <v>Investimentos</v>
      </c>
      <c r="J75" s="1" t="str">
        <f>VLOOKUP(LANÇAMENTOS[[#This Row],[Coluna1]],[1]Planilha2!$K$2:$O$130,5,0)</f>
        <v>Previdência Privada</v>
      </c>
      <c r="L75" s="14">
        <v>252</v>
      </c>
      <c r="N75" s="1">
        <f>IF(ISNUMBER(LANÇAMENTOS[[#This Row],[Receita]]),LANÇAMENTOS[[#This Row],[Receita]],LANÇAMENTOS[[#This Row],[Transferência]])</f>
        <v>252</v>
      </c>
      <c r="R75" s="1" t="str">
        <v>dividendos investimento</v>
      </c>
      <c r="S75" s="1" t="str">
        <v>investimento</v>
      </c>
      <c r="T75" s="1" t="str">
        <v>INVESTIMENTO</v>
      </c>
    </row>
    <row r="76" spans="2:20" x14ac:dyDescent="0.25">
      <c r="B76" s="2">
        <v>45961</v>
      </c>
      <c r="C76" s="2" t="str">
        <f>UPPER(TEXT(LANÇAMENTOS[[#This Row],[Data]],"mmm"))</f>
        <v>OUT</v>
      </c>
      <c r="D76" s="2" t="str">
        <f>UPPER(TEXT(LANÇAMENTOS[[#This Row],[Data]],"AAAA"))</f>
        <v>2025</v>
      </c>
      <c r="E76" s="1" t="s">
        <v>74</v>
      </c>
      <c r="F76" s="1" t="s">
        <v>4</v>
      </c>
      <c r="G76" s="1" t="s">
        <v>27</v>
      </c>
      <c r="H76" s="1" t="str">
        <f>LANÇAMENTOS[[#This Row],[Categoria]]&amp;"-"&amp;LANÇAMENTOS[[#This Row],[Descrição]]</f>
        <v>LAZER-pod</v>
      </c>
      <c r="I76" s="1" t="str">
        <f>VLOOKUP(LANÇAMENTOS[[#This Row],[Coluna1]],[1]Planilha2!$K$2:$O$130,4,0)</f>
        <v>Lazer</v>
      </c>
      <c r="J76" s="1" t="str">
        <f>VLOOKUP(LANÇAMENTOS[[#This Row],[Coluna1]],[1]Planilha2!$K$2:$O$130,5,0)</f>
        <v>Banca</v>
      </c>
      <c r="L76" s="14">
        <v>170</v>
      </c>
      <c r="N76" s="1">
        <f>IF(ISNUMBER(LANÇAMENTOS[[#This Row],[Receita]]),LANÇAMENTOS[[#This Row],[Receita]],LANÇAMENTOS[[#This Row],[Transferência]])</f>
        <v>170</v>
      </c>
      <c r="R76" s="1" t="str">
        <v>mc donalds</v>
      </c>
      <c r="S76" s="1" t="str">
        <v>Despesa</v>
      </c>
      <c r="T76" s="1" t="str">
        <v>ALIMENTAÇÃO</v>
      </c>
    </row>
    <row r="77" spans="2:20" x14ac:dyDescent="0.25">
      <c r="B77" s="2">
        <v>45961</v>
      </c>
      <c r="C77" s="2" t="str">
        <f>UPPER(TEXT(LANÇAMENTOS[[#This Row],[Data]],"mmm"))</f>
        <v>OUT</v>
      </c>
      <c r="D77" s="2" t="str">
        <f>UPPER(TEXT(LANÇAMENTOS[[#This Row],[Data]],"AAAA"))</f>
        <v>2025</v>
      </c>
      <c r="E77" s="1" t="s">
        <v>34</v>
      </c>
      <c r="F77" s="1" t="s">
        <v>4</v>
      </c>
      <c r="G77" s="1" t="s">
        <v>35</v>
      </c>
      <c r="H77" s="1" t="str">
        <f>LANÇAMENTOS[[#This Row],[Categoria]]&amp;"-"&amp;LANÇAMENTOS[[#This Row],[Descrição]]</f>
        <v>TRANSPORTE-uber</v>
      </c>
      <c r="I77" s="1" t="str">
        <f>VLOOKUP(LANÇAMENTOS[[#This Row],[Coluna1]],[1]Planilha2!$K$2:$O$130,4,0)</f>
        <v>Transporte</v>
      </c>
      <c r="J77" s="1" t="str">
        <f>VLOOKUP(LANÇAMENTOS[[#This Row],[Coluna1]],[1]Planilha2!$K$2:$O$130,5,0)</f>
        <v>Uber/táxi</v>
      </c>
      <c r="L77" s="14">
        <v>85.96</v>
      </c>
      <c r="N77" s="1">
        <f>IF(ISNUMBER(LANÇAMENTOS[[#This Row],[Receita]]),LANÇAMENTOS[[#This Row],[Receita]],LANÇAMENTOS[[#This Row],[Transferência]])</f>
        <v>85.96</v>
      </c>
      <c r="R77" s="1" t="str">
        <v>pix presente</v>
      </c>
      <c r="S77" s="1" t="str">
        <v>Despesa</v>
      </c>
      <c r="T77" s="1" t="str">
        <v>PRESENTE</v>
      </c>
    </row>
    <row r="78" spans="2:20" x14ac:dyDescent="0.25">
      <c r="B78" s="2">
        <v>45961</v>
      </c>
      <c r="C78" s="2" t="str">
        <f>UPPER(TEXT(LANÇAMENTOS[[#This Row],[Data]],"mmm"))</f>
        <v>OUT</v>
      </c>
      <c r="D78" s="2" t="str">
        <f>UPPER(TEXT(LANÇAMENTOS[[#This Row],[Data]],"AAAA"))</f>
        <v>2025</v>
      </c>
      <c r="E78" s="1" t="s">
        <v>69</v>
      </c>
      <c r="F78" s="1" t="s">
        <v>4</v>
      </c>
      <c r="G78" s="1" t="s">
        <v>33</v>
      </c>
      <c r="H78" s="1" t="str">
        <f>LANÇAMENTOS[[#This Row],[Categoria]]&amp;"-"&amp;LANÇAMENTOS[[#This Row],[Descrição]]</f>
        <v>ALIMENTAÇÃO-mercado</v>
      </c>
      <c r="I78" s="1" t="str">
        <f>VLOOKUP(LANÇAMENTOS[[#This Row],[Coluna1]],[1]Planilha2!$K$2:$O$130,4,0)</f>
        <v>Alimentação</v>
      </c>
      <c r="J78" s="1" t="str">
        <f>VLOOKUP(LANÇAMENTOS[[#This Row],[Coluna1]],[1]Planilha2!$K$2:$O$130,5,0)</f>
        <v>Mercado</v>
      </c>
      <c r="L78" s="14">
        <v>234.8</v>
      </c>
      <c r="N78" s="1">
        <f>IF(ISNUMBER(LANÇAMENTOS[[#This Row],[Receita]]),LANÇAMENTOS[[#This Row],[Receita]],LANÇAMENTOS[[#This Row],[Transferência]])</f>
        <v>234.8</v>
      </c>
      <c r="R78" s="1" t="str">
        <v>bolão</v>
      </c>
      <c r="S78" s="1" t="str">
        <v>Despesa</v>
      </c>
      <c r="T78" s="1" t="str">
        <v>LAZER</v>
      </c>
    </row>
    <row r="79" spans="2:20" x14ac:dyDescent="0.25">
      <c r="B79" s="2">
        <v>45961</v>
      </c>
      <c r="C79" s="2" t="str">
        <f>UPPER(TEXT(LANÇAMENTOS[[#This Row],[Data]],"mmm"))</f>
        <v>OUT</v>
      </c>
      <c r="D79" s="2" t="str">
        <f>UPPER(TEXT(LANÇAMENTOS[[#This Row],[Data]],"AAAA"))</f>
        <v>2025</v>
      </c>
      <c r="E79" s="1" t="s">
        <v>71</v>
      </c>
      <c r="F79" s="1" t="s">
        <v>5</v>
      </c>
      <c r="G79" s="1" t="s">
        <v>28</v>
      </c>
      <c r="H79" s="1" t="str">
        <f>LANÇAMENTOS[[#This Row],[Categoria]]&amp;"-"&amp;LANÇAMENTOS[[#This Row],[Descrição]]</f>
        <v>PIX ROLE-pix zord</v>
      </c>
      <c r="I79" s="1" t="str">
        <f>VLOOKUP(LANÇAMENTOS[[#This Row],[Coluna1]],[1]Planilha2!$K$2:$O$130,4,0)</f>
        <v>Lazer</v>
      </c>
      <c r="J79" s="1" t="str">
        <f>VLOOKUP(LANÇAMENTOS[[#This Row],[Coluna1]],[1]Planilha2!$K$2:$O$130,5,0)</f>
        <v>Role</v>
      </c>
      <c r="K79" s="14">
        <v>85</v>
      </c>
      <c r="N79" s="1">
        <f>IF(ISNUMBER(LANÇAMENTOS[[#This Row],[Receita]]),LANÇAMENTOS[[#This Row],[Receita]],LANÇAMENTOS[[#This Row],[Transferência]])</f>
        <v>85</v>
      </c>
      <c r="R79" s="1" t="str">
        <v>prev privada</v>
      </c>
      <c r="S79" s="1" t="str">
        <v>investimento</v>
      </c>
      <c r="T79" s="1" t="str">
        <v>INVESTIMENTO</v>
      </c>
    </row>
    <row r="80" spans="2:20" x14ac:dyDescent="0.25">
      <c r="B80" s="2">
        <v>45963</v>
      </c>
      <c r="C80" s="2" t="str">
        <f>UPPER(TEXT(LANÇAMENTOS[[#This Row],[Data]],"mmm"))</f>
        <v>NOV</v>
      </c>
      <c r="D80" s="2" t="str">
        <f>UPPER(TEXT(LANÇAMENTOS[[#This Row],[Data]],"AAAA"))</f>
        <v>2025</v>
      </c>
      <c r="E80" s="1" t="s">
        <v>75</v>
      </c>
      <c r="F80" s="1" t="s">
        <v>4</v>
      </c>
      <c r="G80" s="1" t="s">
        <v>27</v>
      </c>
      <c r="H80" s="1" t="str">
        <f>LANÇAMENTOS[[#This Row],[Categoria]]&amp;"-"&amp;LANÇAMENTOS[[#This Row],[Descrição]]</f>
        <v>LAZER-borda - bar</v>
      </c>
      <c r="I80" s="1" t="str">
        <f>VLOOKUP(LANÇAMENTOS[[#This Row],[Coluna1]],[1]Planilha2!$K$2:$O$130,4,0)</f>
        <v>Lazer</v>
      </c>
      <c r="J80" s="1" t="str">
        <f>VLOOKUP(LANÇAMENTOS[[#This Row],[Coluna1]],[1]Planilha2!$K$2:$O$130,5,0)</f>
        <v>Bar</v>
      </c>
      <c r="L80" s="14">
        <v>79.2</v>
      </c>
      <c r="N80" s="1">
        <f>IF(ISNUMBER(LANÇAMENTOS[[#This Row],[Receita]]),LANÇAMENTOS[[#This Row],[Receita]],LANÇAMENTOS[[#This Row],[Transferência]])</f>
        <v>79.2</v>
      </c>
      <c r="R80" s="1" t="str">
        <v>barbas</v>
      </c>
      <c r="S80" s="1" t="str">
        <v>Despesa</v>
      </c>
      <c r="T80" s="1" t="str">
        <v>LAZER</v>
      </c>
    </row>
    <row r="81" spans="2:20" x14ac:dyDescent="0.25">
      <c r="B81" s="2">
        <v>45964</v>
      </c>
      <c r="C81" s="2" t="str">
        <f>UPPER(TEXT(LANÇAMENTOS[[#This Row],[Data]],"mmm"))</f>
        <v>NOV</v>
      </c>
      <c r="D81" s="2" t="str">
        <f>UPPER(TEXT(LANÇAMENTOS[[#This Row],[Data]],"AAAA"))</f>
        <v>2025</v>
      </c>
      <c r="E81" s="1" t="s">
        <v>72</v>
      </c>
      <c r="F81" s="1" t="s">
        <v>5</v>
      </c>
      <c r="G81" s="1" t="s">
        <v>28</v>
      </c>
      <c r="H81" s="1" t="str">
        <f>LANÇAMENTOS[[#This Row],[Categoria]]&amp;"-"&amp;LANÇAMENTOS[[#This Row],[Descrição]]</f>
        <v>PIX ROLE-pix hamburguer guide</v>
      </c>
      <c r="I81" s="1" t="str">
        <f>VLOOKUP(LANÇAMENTOS[[#This Row],[Coluna1]],[1]Planilha2!$K$2:$O$130,4,0)</f>
        <v>Lazer</v>
      </c>
      <c r="J81" s="1" t="str">
        <f>VLOOKUP(LANÇAMENTOS[[#This Row],[Coluna1]],[1]Planilha2!$K$2:$O$130,5,0)</f>
        <v>Role</v>
      </c>
      <c r="K81" s="14">
        <v>176.1</v>
      </c>
      <c r="N81" s="1">
        <f>IF(ISNUMBER(LANÇAMENTOS[[#This Row],[Receita]]),LANÇAMENTOS[[#This Row],[Receita]],LANÇAMENTOS[[#This Row],[Transferência]])</f>
        <v>176.1</v>
      </c>
      <c r="R81" s="1" t="str">
        <v>bar osasco podre</v>
      </c>
      <c r="S81" s="1" t="str">
        <v>Despesa</v>
      </c>
      <c r="T81" s="1" t="str">
        <v>LAZER</v>
      </c>
    </row>
    <row r="82" spans="2:20" x14ac:dyDescent="0.25">
      <c r="B82" s="2">
        <v>45964</v>
      </c>
      <c r="C82" s="2" t="str">
        <f>UPPER(TEXT(LANÇAMENTOS[[#This Row],[Data]],"mmm"))</f>
        <v>NOV</v>
      </c>
      <c r="D82" s="2" t="str">
        <f>UPPER(TEXT(LANÇAMENTOS[[#This Row],[Data]],"AAAA"))</f>
        <v>2025</v>
      </c>
      <c r="E82" s="1" t="s">
        <v>77</v>
      </c>
      <c r="F82" s="1" t="s">
        <v>4</v>
      </c>
      <c r="G82" s="1" t="s">
        <v>78</v>
      </c>
      <c r="H82" s="1" t="str">
        <f>LANÇAMENTOS[[#This Row],[Categoria]]&amp;"-"&amp;LANÇAMENTOS[[#This Row],[Descrição]]</f>
        <v>MARKETING-spyads - mkt</v>
      </c>
      <c r="I82" s="1" t="str">
        <f>VLOOKUP(LANÇAMENTOS[[#This Row],[Coluna1]],[1]Planilha2!$K$2:$O$130,4,0)</f>
        <v>Assinatura</v>
      </c>
      <c r="J82" s="1" t="str">
        <f>VLOOKUP(LANÇAMENTOS[[#This Row],[Coluna1]],[1]Planilha2!$K$2:$O$130,5,0)</f>
        <v>Rateio</v>
      </c>
      <c r="L82" s="14">
        <v>80</v>
      </c>
      <c r="N82" s="1">
        <f>IF(ISNUMBER(LANÇAMENTOS[[#This Row],[Receita]]),LANÇAMENTOS[[#This Row],[Receita]],LANÇAMENTOS[[#This Row],[Transferência]])</f>
        <v>80</v>
      </c>
      <c r="R82" s="1" t="str">
        <v>ifood - cabana</v>
      </c>
      <c r="S82" s="1" t="str">
        <v>Despesa</v>
      </c>
      <c r="T82" s="1" t="str">
        <v>ALIMENTAÇÃO</v>
      </c>
    </row>
    <row r="83" spans="2:20" x14ac:dyDescent="0.25">
      <c r="B83" s="2">
        <v>45966</v>
      </c>
      <c r="C83" s="2" t="str">
        <f>UPPER(TEXT(LANÇAMENTOS[[#This Row],[Data]],"mmm"))</f>
        <v>NOV</v>
      </c>
      <c r="D83" s="2" t="str">
        <f>UPPER(TEXT(LANÇAMENTOS[[#This Row],[Data]],"AAAA"))</f>
        <v>2025</v>
      </c>
      <c r="E83" s="1" t="s">
        <v>80</v>
      </c>
      <c r="F83" s="1" t="s">
        <v>4</v>
      </c>
      <c r="G83" s="1" t="s">
        <v>81</v>
      </c>
      <c r="H83" s="1" t="str">
        <f>LANÇAMENTOS[[#This Row],[Categoria]]&amp;"-"&amp;LANÇAMENTOS[[#This Row],[Descrição]]</f>
        <v>NATI-flores nati</v>
      </c>
      <c r="I83" s="1" t="str">
        <f>VLOOKUP(LANÇAMENTOS[[#This Row],[Coluna1]],[1]Planilha2!$K$2:$O$130,4,0)</f>
        <v>Relacionamento</v>
      </c>
      <c r="J83" s="1" t="str">
        <f>VLOOKUP(LANÇAMENTOS[[#This Row],[Coluna1]],[1]Planilha2!$K$2:$O$130,5,0)</f>
        <v>Nati</v>
      </c>
      <c r="L83" s="14">
        <v>114.64</v>
      </c>
      <c r="N83" s="1">
        <f>IF(ISNUMBER(LANÇAMENTOS[[#This Row],[Receita]]),LANÇAMENTOS[[#This Row],[Receita]],LANÇAMENTOS[[#This Row],[Transferência]])</f>
        <v>114.64</v>
      </c>
      <c r="R83" s="1" t="str">
        <v>jogo</v>
      </c>
      <c r="S83" s="1" t="str">
        <v>Despesa</v>
      </c>
      <c r="T83" s="1" t="str">
        <v>LAZER</v>
      </c>
    </row>
    <row r="84" spans="2:20" x14ac:dyDescent="0.25">
      <c r="B84" s="2">
        <v>45966</v>
      </c>
      <c r="C84" s="2" t="str">
        <f>UPPER(TEXT(LANÇAMENTOS[[#This Row],[Data]],"mmm"))</f>
        <v>NOV</v>
      </c>
      <c r="D84" s="2" t="str">
        <f>UPPER(TEXT(LANÇAMENTOS[[#This Row],[Data]],"AAAA"))</f>
        <v>2025</v>
      </c>
      <c r="E84" s="1" t="s">
        <v>50</v>
      </c>
      <c r="F84" s="1" t="s">
        <v>4</v>
      </c>
      <c r="G84" s="1" t="s">
        <v>33</v>
      </c>
      <c r="H84" s="1" t="str">
        <f>LANÇAMENTOS[[#This Row],[Categoria]]&amp;"-"&amp;LANÇAMENTOS[[#This Row],[Descrição]]</f>
        <v>ALIMENTAÇÃO-NUTRICAR</v>
      </c>
      <c r="I84" s="1" t="str">
        <f>VLOOKUP(LANÇAMENTOS[[#This Row],[Coluna1]],[1]Planilha2!$K$2:$O$130,4,0)</f>
        <v>Alimentação</v>
      </c>
      <c r="J84" s="1" t="str">
        <f>VLOOKUP(LANÇAMENTOS[[#This Row],[Coluna1]],[1]Planilha2!$K$2:$O$130,5,0)</f>
        <v>Mercadinho</v>
      </c>
      <c r="L84" s="14">
        <v>12</v>
      </c>
      <c r="N84" s="1">
        <f>IF(ISNUMBER(LANÇAMENTOS[[#This Row],[Receita]]),LANÇAMENTOS[[#This Row],[Receita]],LANÇAMENTOS[[#This Row],[Transferência]])</f>
        <v>12</v>
      </c>
      <c r="R84" s="1" t="str">
        <v>patties</v>
      </c>
      <c r="S84" s="1" t="str">
        <v>Despesa</v>
      </c>
      <c r="T84" s="1" t="str">
        <v>ALIMENTAÇÃO</v>
      </c>
    </row>
    <row r="85" spans="2:20" x14ac:dyDescent="0.25">
      <c r="B85" s="2">
        <v>45967</v>
      </c>
      <c r="C85" s="2" t="str">
        <f>UPPER(TEXT(LANÇAMENTOS[[#This Row],[Data]],"mmm"))</f>
        <v>NOV</v>
      </c>
      <c r="D85" s="2" t="str">
        <f>UPPER(TEXT(LANÇAMENTOS[[#This Row],[Data]],"AAAA"))</f>
        <v>2025</v>
      </c>
      <c r="E85" s="1" t="s">
        <v>69</v>
      </c>
      <c r="F85" s="1" t="s">
        <v>4</v>
      </c>
      <c r="G85" s="1" t="s">
        <v>33</v>
      </c>
      <c r="H85" s="1" t="str">
        <f>LANÇAMENTOS[[#This Row],[Categoria]]&amp;"-"&amp;LANÇAMENTOS[[#This Row],[Descrição]]</f>
        <v>ALIMENTAÇÃO-mercado</v>
      </c>
      <c r="I85" s="1" t="str">
        <f>VLOOKUP(LANÇAMENTOS[[#This Row],[Coluna1]],[1]Planilha2!$K$2:$O$130,4,0)</f>
        <v>Alimentação</v>
      </c>
      <c r="J85" s="1" t="str">
        <f>VLOOKUP(LANÇAMENTOS[[#This Row],[Coluna1]],[1]Planilha2!$K$2:$O$130,5,0)</f>
        <v>Mercado</v>
      </c>
      <c r="L85" s="14">
        <v>65.45</v>
      </c>
      <c r="N85" s="1">
        <f>IF(ISNUMBER(LANÇAMENTOS[[#This Row],[Receita]]),LANÇAMENTOS[[#This Row],[Receita]],LANÇAMENTOS[[#This Row],[Transferência]])</f>
        <v>65.45</v>
      </c>
      <c r="R85" s="1" t="str">
        <v>renner</v>
      </c>
      <c r="S85" s="1" t="str">
        <v>Despesa</v>
      </c>
      <c r="T85" s="1" t="str">
        <v>CUIDADOS PESSOAIS</v>
      </c>
    </row>
    <row r="86" spans="2:20" x14ac:dyDescent="0.25">
      <c r="B86" s="2">
        <v>45968</v>
      </c>
      <c r="C86" s="2" t="str">
        <f>UPPER(TEXT(LANÇAMENTOS[[#This Row],[Data]],"mmm"))</f>
        <v>NOV</v>
      </c>
      <c r="D86" s="2" t="str">
        <f>UPPER(TEXT(LANÇAMENTOS[[#This Row],[Data]],"AAAA"))</f>
        <v>2025</v>
      </c>
      <c r="E86" s="1" t="s">
        <v>48</v>
      </c>
      <c r="F86" s="1" t="s">
        <v>4</v>
      </c>
      <c r="G86" s="1" t="s">
        <v>35</v>
      </c>
      <c r="H86" s="1" t="str">
        <f>LANÇAMENTOS[[#This Row],[Categoria]]&amp;"-"&amp;LANÇAMENTOS[[#This Row],[Descrição]]</f>
        <v>TRANSPORTE-UBER</v>
      </c>
      <c r="I86" s="1" t="str">
        <f>VLOOKUP(LANÇAMENTOS[[#This Row],[Coluna1]],[1]Planilha2!$K$2:$O$130,4,0)</f>
        <v>Transporte</v>
      </c>
      <c r="J86" s="1" t="str">
        <f>VLOOKUP(LANÇAMENTOS[[#This Row],[Coluna1]],[1]Planilha2!$K$2:$O$130,5,0)</f>
        <v>Uber/táxi</v>
      </c>
      <c r="L86" s="14">
        <v>51.96</v>
      </c>
      <c r="N86" s="1">
        <f>IF(ISNUMBER(LANÇAMENTOS[[#This Row],[Receita]]),LANÇAMENTOS[[#This Row],[Receita]],LANÇAMENTOS[[#This Row],[Transferência]])</f>
        <v>51.96</v>
      </c>
      <c r="R86" s="1" t="str">
        <v>chatgpt</v>
      </c>
      <c r="S86" s="1" t="str">
        <v>Despesa</v>
      </c>
      <c r="T86" s="1" t="str">
        <v>ASSINATURA</v>
      </c>
    </row>
    <row r="87" spans="2:20" x14ac:dyDescent="0.25">
      <c r="B87" s="2">
        <v>45969</v>
      </c>
      <c r="C87" s="2" t="str">
        <f>UPPER(TEXT(LANÇAMENTOS[[#This Row],[Data]],"mmm"))</f>
        <v>NOV</v>
      </c>
      <c r="D87" s="2" t="str">
        <f>UPPER(TEXT(LANÇAMENTOS[[#This Row],[Data]],"AAAA"))</f>
        <v>2025</v>
      </c>
      <c r="E87" s="1" t="s">
        <v>79</v>
      </c>
      <c r="F87" s="1" t="s">
        <v>4</v>
      </c>
      <c r="G87" s="1" t="s">
        <v>27</v>
      </c>
      <c r="H87" s="1" t="str">
        <f>LANÇAMENTOS[[#This Row],[Categoria]]&amp;"-"&amp;LANÇAMENTOS[[#This Row],[Descrição]]</f>
        <v>LAZER-BAR</v>
      </c>
      <c r="I87" s="1" t="str">
        <f>VLOOKUP(LANÇAMENTOS[[#This Row],[Coluna1]],[1]Planilha2!$K$2:$O$130,4,0)</f>
        <v>Lazer</v>
      </c>
      <c r="J87" s="1" t="str">
        <f>VLOOKUP(LANÇAMENTOS[[#This Row],[Coluna1]],[1]Planilha2!$K$2:$O$130,5,0)</f>
        <v>Bar</v>
      </c>
      <c r="L87" s="14">
        <v>481</v>
      </c>
      <c r="N87" s="1">
        <f>IF(ISNUMBER(LANÇAMENTOS[[#This Row],[Receita]]),LANÇAMENTOS[[#This Row],[Receita]],LANÇAMENTOS[[#This Row],[Transferência]])</f>
        <v>481</v>
      </c>
      <c r="R87" s="1" t="str">
        <v>IOF</v>
      </c>
      <c r="S87" s="1" t="str">
        <v>Despesa</v>
      </c>
      <c r="T87" s="1" t="str">
        <v>CARTÃO</v>
      </c>
    </row>
    <row r="88" spans="2:20" x14ac:dyDescent="0.25">
      <c r="B88" s="2">
        <v>45970</v>
      </c>
      <c r="C88" s="2" t="str">
        <f>UPPER(TEXT(LANÇAMENTOS[[#This Row],[Data]],"mmm"))</f>
        <v>NOV</v>
      </c>
      <c r="D88" s="2" t="str">
        <f>UPPER(TEXT(LANÇAMENTOS[[#This Row],[Data]],"AAAA"))</f>
        <v>2025</v>
      </c>
      <c r="E88" s="1" t="s">
        <v>48</v>
      </c>
      <c r="F88" s="1" t="s">
        <v>4</v>
      </c>
      <c r="G88" s="1" t="s">
        <v>35</v>
      </c>
      <c r="H88" s="1" t="str">
        <f>LANÇAMENTOS[[#This Row],[Categoria]]&amp;"-"&amp;LANÇAMENTOS[[#This Row],[Descrição]]</f>
        <v>TRANSPORTE-UBER</v>
      </c>
      <c r="I88" s="1" t="str">
        <f>VLOOKUP(LANÇAMENTOS[[#This Row],[Coluna1]],[1]Planilha2!$K$2:$O$130,4,0)</f>
        <v>Transporte</v>
      </c>
      <c r="J88" s="1" t="str">
        <f>VLOOKUP(LANÇAMENTOS[[#This Row],[Coluna1]],[1]Planilha2!$K$2:$O$130,5,0)</f>
        <v>Uber/táxi</v>
      </c>
      <c r="L88" s="14">
        <v>25.13</v>
      </c>
      <c r="N88" s="1">
        <f>IF(ISNUMBER(LANÇAMENTOS[[#This Row],[Receita]]),LANÇAMENTOS[[#This Row],[Receita]],LANÇAMENTOS[[#This Row],[Transferência]])</f>
        <v>25.13</v>
      </c>
      <c r="R88" s="1" t="str">
        <v>spyads - mkt</v>
      </c>
      <c r="S88" s="1" t="str">
        <v>Despesa</v>
      </c>
      <c r="T88" s="1" t="str">
        <v>ASSINATURA</v>
      </c>
    </row>
    <row r="89" spans="2:20" x14ac:dyDescent="0.25">
      <c r="B89" s="2">
        <v>45971</v>
      </c>
      <c r="C89" s="2" t="str">
        <f>UPPER(TEXT(LANÇAMENTOS[[#This Row],[Data]],"mmm"))</f>
        <v>NOV</v>
      </c>
      <c r="D89" s="2" t="str">
        <f>UPPER(TEXT(LANÇAMENTOS[[#This Row],[Data]],"AAAA"))</f>
        <v>2025</v>
      </c>
      <c r="E89" s="1" t="s">
        <v>55</v>
      </c>
      <c r="F89" s="1" t="s">
        <v>4</v>
      </c>
      <c r="G89" s="1" t="s">
        <v>56</v>
      </c>
      <c r="H89" s="1" t="str">
        <f>LANÇAMENTOS[[#This Row],[Categoria]]&amp;"-"&amp;LANÇAMENTOS[[#This Row],[Descrição]]</f>
        <v>APARTAMENTO-Apartamento</v>
      </c>
      <c r="I89" s="1" t="str">
        <f>VLOOKUP(LANÇAMENTOS[[#This Row],[Coluna1]],[1]Planilha2!$K$2:$O$130,4,0)</f>
        <v>Moradia</v>
      </c>
      <c r="J89" s="1" t="str">
        <f>VLOOKUP(LANÇAMENTOS[[#This Row],[Coluna1]],[1]Planilha2!$K$2:$O$130,5,0)</f>
        <v>Parcela apto</v>
      </c>
      <c r="L89" s="14">
        <v>1402.18</v>
      </c>
      <c r="N89" s="1">
        <f>IF(ISNUMBER(LANÇAMENTOS[[#This Row],[Receita]]),LANÇAMENTOS[[#This Row],[Receita]],LANÇAMENTOS[[#This Row],[Transferência]])</f>
        <v>1402.18</v>
      </c>
      <c r="R89" s="1" t="str">
        <v>pix</v>
      </c>
      <c r="S89" s="1" t="str">
        <v>Receita</v>
      </c>
      <c r="T89" s="1" t="str">
        <v>PIX VA</v>
      </c>
    </row>
    <row r="90" spans="2:20" x14ac:dyDescent="0.25">
      <c r="B90" s="2">
        <v>45971</v>
      </c>
      <c r="C90" s="2" t="str">
        <f>UPPER(TEXT(LANÇAMENTOS[[#This Row],[Data]],"mmm"))</f>
        <v>NOV</v>
      </c>
      <c r="D90" s="2" t="str">
        <f>UPPER(TEXT(LANÇAMENTOS[[#This Row],[Data]],"AAAA"))</f>
        <v>2025</v>
      </c>
      <c r="E90" s="1" t="s">
        <v>55</v>
      </c>
      <c r="F90" s="1" t="s">
        <v>4</v>
      </c>
      <c r="G90" s="1" t="s">
        <v>56</v>
      </c>
      <c r="H90" s="1" t="str">
        <f>LANÇAMENTOS[[#This Row],[Categoria]]&amp;"-"&amp;LANÇAMENTOS[[#This Row],[Descrição]]</f>
        <v>APARTAMENTO-Apartamento</v>
      </c>
      <c r="I90" s="1" t="str">
        <f>VLOOKUP(LANÇAMENTOS[[#This Row],[Coluna1]],[1]Planilha2!$K$2:$O$130,4,0)</f>
        <v>Moradia</v>
      </c>
      <c r="J90" s="1" t="str">
        <f>VLOOKUP(LANÇAMENTOS[[#This Row],[Coluna1]],[1]Planilha2!$K$2:$O$130,5,0)</f>
        <v>Parcela apto</v>
      </c>
      <c r="L90" s="14">
        <v>124.89</v>
      </c>
      <c r="N90" s="1">
        <f>IF(ISNUMBER(LANÇAMENTOS[[#This Row],[Receita]]),LANÇAMENTOS[[#This Row],[Receita]],LANÇAMENTOS[[#This Row],[Transferência]])</f>
        <v>124.89</v>
      </c>
      <c r="R90" s="1" t="str">
        <v>PRESENTE MAMAE</v>
      </c>
      <c r="S90" s="1" t="str">
        <v>Despesa</v>
      </c>
      <c r="T90" s="1" t="str">
        <v>PIX ROLE</v>
      </c>
    </row>
    <row r="91" spans="2:20" x14ac:dyDescent="0.25">
      <c r="B91" s="2">
        <v>45972</v>
      </c>
      <c r="C91" s="2" t="str">
        <f>UPPER(TEXT(LANÇAMENTOS[[#This Row],[Data]],"mmm"))</f>
        <v>NOV</v>
      </c>
      <c r="D91" s="2" t="str">
        <f>UPPER(TEXT(LANÇAMENTOS[[#This Row],[Data]],"AAAA"))</f>
        <v>2025</v>
      </c>
      <c r="E91" s="1" t="s">
        <v>82</v>
      </c>
      <c r="F91" s="1" t="s">
        <v>4</v>
      </c>
      <c r="G91" s="1" t="s">
        <v>27</v>
      </c>
      <c r="H91" s="1" t="str">
        <f>LANÇAMENTOS[[#This Row],[Categoria]]&amp;"-"&amp;LANÇAMENTOS[[#This Row],[Descrição]]</f>
        <v>LAZER-presente cabral</v>
      </c>
      <c r="I91" s="1" t="str">
        <f>VLOOKUP(LANÇAMENTOS[[#This Row],[Coluna1]],[1]Planilha2!$K$2:$O$130,4,0)</f>
        <v>Lazer</v>
      </c>
      <c r="J91" s="1" t="str">
        <f>VLOOKUP(LANÇAMENTOS[[#This Row],[Coluna1]],[1]Planilha2!$K$2:$O$130,5,0)</f>
        <v>Acessórios Diversos</v>
      </c>
      <c r="L91" s="14">
        <v>66.5</v>
      </c>
      <c r="N91" s="1">
        <f>IF(ISNUMBER(LANÇAMENTOS[[#This Row],[Receita]]),LANÇAMENTOS[[#This Row],[Receita]],LANÇAMENTOS[[#This Row],[Transferência]])</f>
        <v>66.5</v>
      </c>
      <c r="R91" s="1" t="str">
        <v>martinelli</v>
      </c>
      <c r="S91" s="1" t="str">
        <v>Despesa</v>
      </c>
      <c r="T91" s="1" t="str">
        <v>LAZER</v>
      </c>
    </row>
    <row r="92" spans="2:20" x14ac:dyDescent="0.25">
      <c r="B92" s="2">
        <v>45972</v>
      </c>
      <c r="C92" s="2" t="str">
        <f>UPPER(TEXT(LANÇAMENTOS[[#This Row],[Data]],"mmm"))</f>
        <v>NOV</v>
      </c>
      <c r="D92" s="2" t="str">
        <f>UPPER(TEXT(LANÇAMENTOS[[#This Row],[Data]],"AAAA"))</f>
        <v>2025</v>
      </c>
      <c r="E92" s="1" t="s">
        <v>82</v>
      </c>
      <c r="F92" s="1" t="s">
        <v>4</v>
      </c>
      <c r="G92" s="1" t="s">
        <v>27</v>
      </c>
      <c r="H92" s="1" t="str">
        <f>LANÇAMENTOS[[#This Row],[Categoria]]&amp;"-"&amp;LANÇAMENTOS[[#This Row],[Descrição]]</f>
        <v>LAZER-presente cabral</v>
      </c>
      <c r="I92" s="1" t="str">
        <f>VLOOKUP(LANÇAMENTOS[[#This Row],[Coluna1]],[1]Planilha2!$K$2:$O$130,4,0)</f>
        <v>Lazer</v>
      </c>
      <c r="J92" s="1" t="str">
        <f>VLOOKUP(LANÇAMENTOS[[#This Row],[Coluna1]],[1]Planilha2!$K$2:$O$130,5,0)</f>
        <v>Acessórios Diversos</v>
      </c>
      <c r="L92" s="14">
        <v>169.9</v>
      </c>
      <c r="N92" s="1">
        <f>IF(ISNUMBER(LANÇAMENTOS[[#This Row],[Receita]]),LANÇAMENTOS[[#This Row],[Receita]],LANÇAMENTOS[[#This Row],[Transferência]])</f>
        <v>169.9</v>
      </c>
      <c r="R92" s="1" t="str">
        <v>suco - tambore</v>
      </c>
      <c r="S92" s="1" t="str">
        <v>Despesa</v>
      </c>
      <c r="T92" s="1" t="str">
        <v>ALIMENTAÇÃO</v>
      </c>
    </row>
    <row r="93" spans="2:20" x14ac:dyDescent="0.25">
      <c r="B93" s="2">
        <v>45976</v>
      </c>
      <c r="C93" s="2" t="str">
        <f>UPPER(TEXT(LANÇAMENTOS[[#This Row],[Data]],"mmm"))</f>
        <v>NOV</v>
      </c>
      <c r="D93" s="2" t="str">
        <f>UPPER(TEXT(LANÇAMENTOS[[#This Row],[Data]],"AAAA"))</f>
        <v>2025</v>
      </c>
      <c r="E93" s="1" t="s">
        <v>85</v>
      </c>
      <c r="F93" s="1" t="s">
        <v>4</v>
      </c>
      <c r="G93" s="1" t="s">
        <v>27</v>
      </c>
      <c r="H93" s="1" t="str">
        <f>LANÇAMENTOS[[#This Row],[Categoria]]&amp;"-"&amp;LANÇAMENTOS[[#This Row],[Descrição]]</f>
        <v>LAZER-blacktag</v>
      </c>
      <c r="I93" s="1" t="str">
        <f>VLOOKUP(LANÇAMENTOS[[#This Row],[Coluna1]],[1]Planilha2!$K$2:$O$130,4,0)</f>
        <v>Lazer</v>
      </c>
      <c r="J93" s="1" t="str">
        <f>VLOOKUP(LANÇAMENTOS[[#This Row],[Coluna1]],[1]Planilha2!$K$2:$O$130,5,0)</f>
        <v>Role</v>
      </c>
      <c r="L93" s="1">
        <v>159.63</v>
      </c>
      <c r="N93" s="1">
        <f>IF(ISNUMBER(LANÇAMENTOS[[#This Row],[Receita]]),LANÇAMENTOS[[#This Row],[Receita]],LANÇAMENTOS[[#This Row],[Transferência]])</f>
        <v>159.63</v>
      </c>
      <c r="R93" s="1" t="str">
        <v>centauro</v>
      </c>
      <c r="S93" s="1" t="str">
        <v>Despesa</v>
      </c>
      <c r="T93" s="1" t="str">
        <v>LAZER</v>
      </c>
    </row>
    <row r="94" spans="2:20" x14ac:dyDescent="0.25">
      <c r="B94" s="2">
        <v>45976</v>
      </c>
      <c r="C94" s="2" t="str">
        <f>UPPER(TEXT(LANÇAMENTOS[[#This Row],[Data]],"mmm"))</f>
        <v>NOV</v>
      </c>
      <c r="D94" s="2" t="str">
        <f>UPPER(TEXT(LANÇAMENTOS[[#This Row],[Data]],"AAAA"))</f>
        <v>2025</v>
      </c>
      <c r="E94" s="1" t="s">
        <v>74</v>
      </c>
      <c r="F94" s="1" t="s">
        <v>4</v>
      </c>
      <c r="G94" s="1" t="s">
        <v>27</v>
      </c>
      <c r="H94" s="1" t="str">
        <f>LANÇAMENTOS[[#This Row],[Categoria]]&amp;"-"&amp;LANÇAMENTOS[[#This Row],[Descrição]]</f>
        <v>LAZER-pod</v>
      </c>
      <c r="I94" s="1" t="str">
        <f>VLOOKUP(LANÇAMENTOS[[#This Row],[Coluna1]],[1]Planilha2!$K$2:$O$130,4,0)</f>
        <v>Lazer</v>
      </c>
      <c r="J94" s="1" t="str">
        <f>VLOOKUP(LANÇAMENTOS[[#This Row],[Coluna1]],[1]Planilha2!$K$2:$O$130,5,0)</f>
        <v>Banca</v>
      </c>
      <c r="L94" s="14">
        <v>110</v>
      </c>
      <c r="N94" s="1">
        <f>IF(ISNUMBER(LANÇAMENTOS[[#This Row],[Receita]]),LANÇAMENTOS[[#This Row],[Receita]],LANÇAMENTOS[[#This Row],[Transferência]])</f>
        <v>110</v>
      </c>
      <c r="R94" s="1" t="str">
        <v>REEMBOLSO</v>
      </c>
      <c r="S94" s="1" t="str">
        <v>Receita</v>
      </c>
      <c r="T94" s="1" t="str">
        <v>REEMBOLSO</v>
      </c>
    </row>
    <row r="95" spans="2:20" x14ac:dyDescent="0.25">
      <c r="B95" s="2">
        <v>45976</v>
      </c>
      <c r="C95" s="2" t="str">
        <f>UPPER(TEXT(LANÇAMENTOS[[#This Row],[Data]],"mmm"))</f>
        <v>NOV</v>
      </c>
      <c r="D95" s="2" t="str">
        <f>UPPER(TEXT(LANÇAMENTOS[[#This Row],[Data]],"AAAA"))</f>
        <v>2025</v>
      </c>
      <c r="E95" s="1" t="s">
        <v>69</v>
      </c>
      <c r="F95" s="1" t="s">
        <v>4</v>
      </c>
      <c r="G95" s="1" t="s">
        <v>33</v>
      </c>
      <c r="H95" s="1" t="str">
        <f>LANÇAMENTOS[[#This Row],[Categoria]]&amp;"-"&amp;LANÇAMENTOS[[#This Row],[Descrição]]</f>
        <v>ALIMENTAÇÃO-mercado</v>
      </c>
      <c r="I95" s="1" t="str">
        <f>VLOOKUP(LANÇAMENTOS[[#This Row],[Coluna1]],[1]Planilha2!$K$2:$O$130,4,0)</f>
        <v>Alimentação</v>
      </c>
      <c r="J95" s="1" t="str">
        <f>VLOOKUP(LANÇAMENTOS[[#This Row],[Coluna1]],[1]Planilha2!$K$2:$O$130,5,0)</f>
        <v>Mercado</v>
      </c>
      <c r="L95" s="14">
        <v>209.4</v>
      </c>
      <c r="N95" s="1">
        <f>IF(ISNUMBER(LANÇAMENTOS[[#This Row],[Receita]]),LANÇAMENTOS[[#This Row],[Receita]],LANÇAMENTOS[[#This Row],[Transferência]])</f>
        <v>209.4</v>
      </c>
      <c r="R95" s="1" t="str">
        <v>gastos cartao</v>
      </c>
      <c r="S95" s="1" t="str">
        <v>Despesa</v>
      </c>
      <c r="T95" s="1" t="str">
        <v>CARTÃO</v>
      </c>
    </row>
    <row r="96" spans="2:20" x14ac:dyDescent="0.25">
      <c r="B96" s="2">
        <v>45976</v>
      </c>
      <c r="C96" s="2" t="str">
        <f>UPPER(TEXT(LANÇAMENTOS[[#This Row],[Data]],"mmm"))</f>
        <v>NOV</v>
      </c>
      <c r="D96" s="2" t="str">
        <f>UPPER(TEXT(LANÇAMENTOS[[#This Row],[Data]],"AAAA"))</f>
        <v>2025</v>
      </c>
      <c r="E96" s="1" t="s">
        <v>84</v>
      </c>
      <c r="F96" s="1" t="s">
        <v>4</v>
      </c>
      <c r="G96" s="1" t="s">
        <v>46</v>
      </c>
      <c r="H96" s="1" t="str">
        <f>LANÇAMENTOS[[#This Row],[Categoria]]&amp;"-"&amp;LANÇAMENTOS[[#This Row],[Descrição]]</f>
        <v>CUIDADOS PESSOAIS-vans</v>
      </c>
      <c r="I96" s="1" t="str">
        <f>VLOOKUP(LANÇAMENTOS[[#This Row],[Coluna1]],[1]Planilha2!$K$2:$O$130,4,0)</f>
        <v>Vestuário &amp; Acessórios</v>
      </c>
      <c r="J96" s="1" t="str">
        <f>VLOOKUP(LANÇAMENTOS[[#This Row],[Coluna1]],[1]Planilha2!$K$2:$O$130,5,0)</f>
        <v>Roupas</v>
      </c>
      <c r="L96" s="14">
        <v>126.01</v>
      </c>
      <c r="N96" s="1">
        <f>IF(ISNUMBER(LANÇAMENTOS[[#This Row],[Receita]]),LANÇAMENTOS[[#This Row],[Receita]],LANÇAMENTOS[[#This Row],[Transferência]])</f>
        <v>126.01</v>
      </c>
      <c r="R96" s="1" t="str">
        <v>casa pilão</v>
      </c>
      <c r="S96" s="1" t="str">
        <v>Despesa</v>
      </c>
      <c r="T96" s="1" t="str">
        <v>ALIMENTAÇÃO</v>
      </c>
    </row>
    <row r="97" spans="2:20" x14ac:dyDescent="0.25">
      <c r="B97" s="2">
        <v>45976</v>
      </c>
      <c r="C97" s="2" t="str">
        <f>UPPER(TEXT(LANÇAMENTOS[[#This Row],[Data]],"mmm"))</f>
        <v>NOV</v>
      </c>
      <c r="D97" s="2" t="str">
        <f>UPPER(TEXT(LANÇAMENTOS[[#This Row],[Data]],"AAAA"))</f>
        <v>2025</v>
      </c>
      <c r="E97" s="1" t="s">
        <v>30</v>
      </c>
      <c r="F97" s="1" t="s">
        <v>4</v>
      </c>
      <c r="G97" s="1" t="s">
        <v>31</v>
      </c>
      <c r="H97" s="1" t="str">
        <f>LANÇAMENTOS[[#This Row],[Categoria]]&amp;"-"&amp;LANÇAMENTOS[[#This Row],[Descrição]]</f>
        <v>CARTÃO-seguro cartão</v>
      </c>
      <c r="I97" s="1" t="str">
        <f>VLOOKUP(LANÇAMENTOS[[#This Row],[Coluna1]],[1]Planilha2!$K$2:$O$130,4,0)</f>
        <v>Cartão</v>
      </c>
      <c r="J97" s="1" t="str">
        <f>VLOOKUP(LANÇAMENTOS[[#This Row],[Coluna1]],[1]Planilha2!$K$2:$O$130,5,0)</f>
        <v>Seguro</v>
      </c>
      <c r="L97" s="14">
        <v>9.99</v>
      </c>
      <c r="N97" s="1">
        <f>IF(ISNUMBER(LANÇAMENTOS[[#This Row],[Receita]]),LANÇAMENTOS[[#This Row],[Receita]],LANÇAMENTOS[[#This Row],[Transferência]])</f>
        <v>9.99</v>
      </c>
      <c r="R97" s="1" t="str">
        <v>OF</v>
      </c>
      <c r="S97" s="1" t="str">
        <v>Despesa</v>
      </c>
      <c r="T97" s="1" t="str">
        <v>LAZER</v>
      </c>
    </row>
    <row r="98" spans="2:20" x14ac:dyDescent="0.25">
      <c r="B98" s="2">
        <v>45976</v>
      </c>
      <c r="C98" s="2" t="str">
        <f>UPPER(TEXT(LANÇAMENTOS[[#This Row],[Data]],"mmm"))</f>
        <v>NOV</v>
      </c>
      <c r="D98" s="2" t="str">
        <f>UPPER(TEXT(LANÇAMENTOS[[#This Row],[Data]],"AAAA"))</f>
        <v>2025</v>
      </c>
      <c r="E98" s="1" t="s">
        <v>83</v>
      </c>
      <c r="F98" s="1" t="s">
        <v>4</v>
      </c>
      <c r="G98" s="1" t="s">
        <v>46</v>
      </c>
      <c r="H98" s="1" t="str">
        <f>LANÇAMENTOS[[#This Row],[Categoria]]&amp;"-"&amp;LANÇAMENTOS[[#This Row],[Descrição]]</f>
        <v>CUIDADOS PESSOAIS-aramis</v>
      </c>
      <c r="I98" s="1" t="str">
        <f>VLOOKUP(LANÇAMENTOS[[#This Row],[Coluna1]],[1]Planilha2!$K$2:$O$130,4,0)</f>
        <v>Vestuário &amp; Acessórios</v>
      </c>
      <c r="J98" s="1" t="str">
        <f>VLOOKUP(LANÇAMENTOS[[#This Row],[Coluna1]],[1]Planilha2!$K$2:$O$130,5,0)</f>
        <v>Roupas</v>
      </c>
      <c r="L98" s="14">
        <v>296.58</v>
      </c>
      <c r="N98" s="1">
        <f>IF(ISNUMBER(LANÇAMENTOS[[#This Row],[Receita]]),LANÇAMENTOS[[#This Row],[Receita]],LANÇAMENTOS[[#This Row],[Transferência]])</f>
        <v>296.58</v>
      </c>
      <c r="R98" s="1" t="str">
        <v>cu do padre</v>
      </c>
      <c r="S98" s="1" t="str">
        <v>Despesa</v>
      </c>
      <c r="T98" s="1" t="str">
        <v>LAZER</v>
      </c>
    </row>
    <row r="99" spans="2:20" x14ac:dyDescent="0.25">
      <c r="B99" s="2">
        <v>45978</v>
      </c>
      <c r="C99" s="2" t="str">
        <f>UPPER(TEXT(LANÇAMENTOS[[#This Row],[Data]],"mmm"))</f>
        <v>NOV</v>
      </c>
      <c r="D99" s="2" t="str">
        <f>UPPER(TEXT(LANÇAMENTOS[[#This Row],[Data]],"AAAA"))</f>
        <v>2025</v>
      </c>
      <c r="E99" s="1" t="s">
        <v>63</v>
      </c>
      <c r="F99" s="1" t="s">
        <v>5</v>
      </c>
      <c r="G99" s="1" t="s">
        <v>28</v>
      </c>
      <c r="H99" s="1" t="str">
        <f>LANÇAMENTOS[[#This Row],[Categoria]]&amp;"-"&amp;LANÇAMENTOS[[#This Row],[Descrição]]</f>
        <v>PIX ROLE-pix</v>
      </c>
      <c r="I99" s="1" t="str">
        <f>VLOOKUP(LANÇAMENTOS[[#This Row],[Coluna1]],[1]Planilha2!$K$2:$O$130,4,0)</f>
        <v>Lazer</v>
      </c>
      <c r="J99" s="1" t="str">
        <f>VLOOKUP(LANÇAMENTOS[[#This Row],[Coluna1]],[1]Planilha2!$K$2:$O$130,5,0)</f>
        <v>Role</v>
      </c>
      <c r="K99" s="14">
        <v>42</v>
      </c>
      <c r="N99" s="1">
        <f>IF(ISNUMBER(LANÇAMENTOS[[#This Row],[Receita]]),LANÇAMENTOS[[#This Row],[Receita]],LANÇAMENTOS[[#This Row],[Transferência]])</f>
        <v>42</v>
      </c>
      <c r="R99" s="1" t="str">
        <v>fatz</v>
      </c>
      <c r="S99" s="1" t="str">
        <v>Despesa</v>
      </c>
      <c r="T99" s="1" t="str">
        <v>ALIMENTAÇÃO</v>
      </c>
    </row>
    <row r="100" spans="2:20" x14ac:dyDescent="0.25">
      <c r="B100" s="2">
        <v>45980</v>
      </c>
      <c r="C100" s="2" t="str">
        <f>UPPER(TEXT(LANÇAMENTOS[[#This Row],[Data]],"mmm"))</f>
        <v>NOV</v>
      </c>
      <c r="D100" s="2" t="str">
        <f>UPPER(TEXT(LANÇAMENTOS[[#This Row],[Data]],"AAAA"))</f>
        <v>2025</v>
      </c>
      <c r="E100" s="1" t="s">
        <v>69</v>
      </c>
      <c r="F100" s="1" t="s">
        <v>4</v>
      </c>
      <c r="G100" s="1" t="s">
        <v>33</v>
      </c>
      <c r="H100" s="1" t="str">
        <f>LANÇAMENTOS[[#This Row],[Categoria]]&amp;"-"&amp;LANÇAMENTOS[[#This Row],[Descrição]]</f>
        <v>ALIMENTAÇÃO-mercado</v>
      </c>
      <c r="I100" s="1" t="str">
        <f>VLOOKUP(LANÇAMENTOS[[#This Row],[Coluna1]],[1]Planilha2!$K$2:$O$130,4,0)</f>
        <v>Alimentação</v>
      </c>
      <c r="J100" s="1" t="str">
        <f>VLOOKUP(LANÇAMENTOS[[#This Row],[Coluna1]],[1]Planilha2!$K$2:$O$130,5,0)</f>
        <v>Mercado</v>
      </c>
      <c r="L100" s="14">
        <v>221.74</v>
      </c>
      <c r="N100" s="1">
        <f>IF(ISNUMBER(LANÇAMENTOS[[#This Row],[Receita]]),LANÇAMENTOS[[#This Row],[Receita]],LANÇAMENTOS[[#This Row],[Transferência]])</f>
        <v>221.74</v>
      </c>
      <c r="R100" s="1" t="str">
        <v>bar leh</v>
      </c>
      <c r="S100" s="1" t="str">
        <v>Despesa</v>
      </c>
      <c r="T100" s="1" t="str">
        <v>LAZER</v>
      </c>
    </row>
    <row r="101" spans="2:20" x14ac:dyDescent="0.25">
      <c r="B101" s="2">
        <v>45980</v>
      </c>
      <c r="C101" s="2" t="str">
        <f>UPPER(TEXT(LANÇAMENTOS[[#This Row],[Data]],"mmm"))</f>
        <v>NOV</v>
      </c>
      <c r="D101" s="2" t="str">
        <f>UPPER(TEXT(LANÇAMENTOS[[#This Row],[Data]],"AAAA"))</f>
        <v>2025</v>
      </c>
      <c r="E101" s="1" t="s">
        <v>69</v>
      </c>
      <c r="F101" s="1" t="s">
        <v>4</v>
      </c>
      <c r="G101" s="1" t="s">
        <v>33</v>
      </c>
      <c r="H101" s="1" t="str">
        <f>LANÇAMENTOS[[#This Row],[Categoria]]&amp;"-"&amp;LANÇAMENTOS[[#This Row],[Descrição]]</f>
        <v>ALIMENTAÇÃO-mercado</v>
      </c>
      <c r="I101" s="1" t="str">
        <f>VLOOKUP(LANÇAMENTOS[[#This Row],[Coluna1]],[1]Planilha2!$K$2:$O$130,4,0)</f>
        <v>Alimentação</v>
      </c>
      <c r="J101" s="1" t="str">
        <f>VLOOKUP(LANÇAMENTOS[[#This Row],[Coluna1]],[1]Planilha2!$K$2:$O$130,5,0)</f>
        <v>Mercado</v>
      </c>
      <c r="L101" s="14">
        <v>511.64</v>
      </c>
      <c r="N101" s="1">
        <f>IF(ISNUMBER(LANÇAMENTOS[[#This Row],[Receita]]),LANÇAMENTOS[[#This Row],[Receita]],LANÇAMENTOS[[#This Row],[Transferência]])</f>
        <v>511.64</v>
      </c>
      <c r="R101" s="1" t="str">
        <v>curso</v>
      </c>
      <c r="S101" s="1" t="str">
        <v>Despesa</v>
      </c>
      <c r="T101" s="1" t="str">
        <v>CURSO</v>
      </c>
    </row>
    <row r="102" spans="2:20" x14ac:dyDescent="0.25">
      <c r="B102" s="2">
        <v>45983</v>
      </c>
      <c r="C102" s="2" t="str">
        <f>UPPER(TEXT(LANÇAMENTOS[[#This Row],[Data]],"mmm"))</f>
        <v>NOV</v>
      </c>
      <c r="D102" s="2" t="str">
        <f>UPPER(TEXT(LANÇAMENTOS[[#This Row],[Data]],"AAAA"))</f>
        <v>2025</v>
      </c>
      <c r="E102" s="1" t="s">
        <v>86</v>
      </c>
      <c r="F102" s="1" t="s">
        <v>4</v>
      </c>
      <c r="G102" s="1" t="s">
        <v>27</v>
      </c>
      <c r="H102" s="1" t="str">
        <f>LANÇAMENTOS[[#This Row],[Categoria]]&amp;"-"&amp;LANÇAMENTOS[[#This Row],[Descrição]]</f>
        <v>LAZER-praia</v>
      </c>
      <c r="I102" s="1" t="str">
        <f>VLOOKUP(LANÇAMENTOS[[#This Row],[Coluna1]],[1]Planilha2!$K$2:$O$130,4,0)</f>
        <v>Lazer</v>
      </c>
      <c r="J102" s="1" t="str">
        <f>VLOOKUP(LANÇAMENTOS[[#This Row],[Coluna1]],[1]Planilha2!$K$2:$O$130,5,0)</f>
        <v>Role</v>
      </c>
      <c r="L102" s="14">
        <v>50</v>
      </c>
      <c r="N102" s="1">
        <f>IF(ISNUMBER(LANÇAMENTOS[[#This Row],[Receita]]),LANÇAMENTOS[[#This Row],[Receita]],LANÇAMENTOS[[#This Row],[Transferência]])</f>
        <v>50</v>
      </c>
      <c r="R102" s="1" t="str">
        <v>Rent.inv.facil</v>
      </c>
      <c r="S102" s="1" t="str">
        <v>investimento</v>
      </c>
      <c r="T102" s="1" t="str">
        <v>INVESTIMENTO</v>
      </c>
    </row>
    <row r="103" spans="2:20" x14ac:dyDescent="0.25">
      <c r="B103" s="2">
        <v>45983</v>
      </c>
      <c r="C103" s="2" t="str">
        <f>UPPER(TEXT(LANÇAMENTOS[[#This Row],[Data]],"mmm"))</f>
        <v>NOV</v>
      </c>
      <c r="D103" s="2" t="str">
        <f>UPPER(TEXT(LANÇAMENTOS[[#This Row],[Data]],"AAAA"))</f>
        <v>2025</v>
      </c>
      <c r="E103" s="1" t="s">
        <v>86</v>
      </c>
      <c r="F103" s="1" t="s">
        <v>4</v>
      </c>
      <c r="G103" s="1" t="s">
        <v>27</v>
      </c>
      <c r="H103" s="1" t="str">
        <f>LANÇAMENTOS[[#This Row],[Categoria]]&amp;"-"&amp;LANÇAMENTOS[[#This Row],[Descrição]]</f>
        <v>LAZER-praia</v>
      </c>
      <c r="I103" s="1" t="str">
        <f>VLOOKUP(LANÇAMENTOS[[#This Row],[Coluna1]],[1]Planilha2!$K$2:$O$130,4,0)</f>
        <v>Lazer</v>
      </c>
      <c r="J103" s="1" t="str">
        <f>VLOOKUP(LANÇAMENTOS[[#This Row],[Coluna1]],[1]Planilha2!$K$2:$O$130,5,0)</f>
        <v>Role</v>
      </c>
      <c r="L103" s="14">
        <v>40</v>
      </c>
      <c r="N103" s="1">
        <f>IF(ISNUMBER(LANÇAMENTOS[[#This Row],[Receita]]),LANÇAMENTOS[[#This Row],[Receita]],LANÇAMENTOS[[#This Row],[Transferência]])</f>
        <v>40</v>
      </c>
      <c r="R103" s="1" t="str">
        <v>IFD*iFood</v>
      </c>
      <c r="S103" s="1" t="str">
        <v>Despesa</v>
      </c>
      <c r="T103" s="1" t="str">
        <v>ALIMENTAÇÃO</v>
      </c>
    </row>
    <row r="104" spans="2:20" x14ac:dyDescent="0.25">
      <c r="B104" s="2">
        <v>45985</v>
      </c>
      <c r="C104" s="2" t="str">
        <f>UPPER(TEXT(LANÇAMENTOS[[#This Row],[Data]],"mmm"))</f>
        <v>NOV</v>
      </c>
      <c r="D104" s="2" t="str">
        <f>UPPER(TEXT(LANÇAMENTOS[[#This Row],[Data]],"AAAA"))</f>
        <v>2025</v>
      </c>
      <c r="E104" s="1" t="s">
        <v>63</v>
      </c>
      <c r="F104" s="1" t="s">
        <v>5</v>
      </c>
      <c r="G104" s="1" t="s">
        <v>28</v>
      </c>
      <c r="H104" s="1" t="str">
        <f>LANÇAMENTOS[[#This Row],[Categoria]]&amp;"-"&amp;LANÇAMENTOS[[#This Row],[Descrição]]</f>
        <v>PIX ROLE-pix</v>
      </c>
      <c r="I104" s="1" t="str">
        <f>VLOOKUP(LANÇAMENTOS[[#This Row],[Coluna1]],[1]Planilha2!$K$2:$O$130,4,0)</f>
        <v>Lazer</v>
      </c>
      <c r="J104" s="1" t="str">
        <f>VLOOKUP(LANÇAMENTOS[[#This Row],[Coluna1]],[1]Planilha2!$K$2:$O$130,5,0)</f>
        <v>Role</v>
      </c>
      <c r="K104" s="14">
        <v>425.04</v>
      </c>
      <c r="N104" s="1">
        <f>IF(ISNUMBER(LANÇAMENTOS[[#This Row],[Receita]]),LANÇAMENTOS[[#This Row],[Receita]],LANÇAMENTOS[[#This Row],[Transferência]])</f>
        <v>425.04</v>
      </c>
      <c r="R104" s="1" t="str">
        <v>Pgto Rend - b3</v>
      </c>
      <c r="S104" s="1" t="str">
        <v>investimento</v>
      </c>
      <c r="T104" s="1" t="str">
        <v>INVESTIMENTO</v>
      </c>
    </row>
    <row r="105" spans="2:20" x14ac:dyDescent="0.25">
      <c r="B105" s="2">
        <v>45986</v>
      </c>
      <c r="C105" s="2" t="str">
        <f>UPPER(TEXT(LANÇAMENTOS[[#This Row],[Data]],"mmm"))</f>
        <v>NOV</v>
      </c>
      <c r="D105" s="2" t="str">
        <f>UPPER(TEXT(LANÇAMENTOS[[#This Row],[Data]],"AAAA"))</f>
        <v>2025</v>
      </c>
      <c r="E105" s="1" t="s">
        <v>44</v>
      </c>
      <c r="F105" s="1" t="s">
        <v>4</v>
      </c>
      <c r="G105" s="1" t="s">
        <v>46</v>
      </c>
      <c r="H105" s="1" t="str">
        <f>LANÇAMENTOS[[#This Row],[Categoria]]&amp;"-"&amp;LANÇAMENTOS[[#This Row],[Descrição]]</f>
        <v>CUIDADOS PESSOAIS-barbearia</v>
      </c>
      <c r="I105" s="1" t="str">
        <f>VLOOKUP(LANÇAMENTOS[[#This Row],[Coluna1]],[1]Planilha2!$K$2:$O$130,4,0)</f>
        <v>Cuidados Pessoais</v>
      </c>
      <c r="J105" s="1" t="str">
        <f>VLOOKUP(LANÇAMENTOS[[#This Row],[Coluna1]],[1]Planilha2!$K$2:$O$130,5,0)</f>
        <v>Barbearia</v>
      </c>
      <c r="L105" s="14">
        <v>90</v>
      </c>
      <c r="N105" s="1">
        <f>IF(ISNUMBER(LANÇAMENTOS[[#This Row],[Receita]]),LANÇAMENTOS[[#This Row],[Receita]],LANÇAMENTOS[[#This Row],[Transferência]])</f>
        <v>90</v>
      </c>
      <c r="R105" s="1" t="str">
        <v>OUTBACK BOURBOUN SP</v>
      </c>
      <c r="S105" s="1" t="str">
        <v>Despesa</v>
      </c>
      <c r="T105" s="1" t="str">
        <v>ALIMENTAÇÃO</v>
      </c>
    </row>
    <row r="106" spans="2:20" x14ac:dyDescent="0.25">
      <c r="B106" s="2">
        <v>45987</v>
      </c>
      <c r="C106" s="2" t="str">
        <f>UPPER(TEXT(LANÇAMENTOS[[#This Row],[Data]],"mmm"))</f>
        <v>NOV</v>
      </c>
      <c r="D106" s="2" t="str">
        <f>UPPER(TEXT(LANÇAMENTOS[[#This Row],[Data]],"AAAA"))</f>
        <v>2025</v>
      </c>
      <c r="E106" s="1" t="s">
        <v>90</v>
      </c>
      <c r="F106" s="1" t="s">
        <v>4</v>
      </c>
      <c r="G106" s="1" t="s">
        <v>28</v>
      </c>
      <c r="H106" s="1" t="str">
        <f>LANÇAMENTOS[[#This Row],[Categoria]]&amp;"-"&amp;LANÇAMENTOS[[#This Row],[Descrição]]</f>
        <v>PIX ROLE-pix nati</v>
      </c>
      <c r="I106" s="1" t="str">
        <f>VLOOKUP(LANÇAMENTOS[[#This Row],[Coluna1]],[1]Planilha2!$K$2:$O$130,4,0)</f>
        <v>Lazer</v>
      </c>
      <c r="J106" s="1" t="str">
        <f>VLOOKUP(LANÇAMENTOS[[#This Row],[Coluna1]],[1]Planilha2!$K$2:$O$130,5,0)</f>
        <v>Role</v>
      </c>
      <c r="L106" s="14">
        <v>420</v>
      </c>
      <c r="N106" s="1">
        <f>IF(ISNUMBER(LANÇAMENTOS[[#This Row],[Receita]]),LANÇAMENTOS[[#This Row],[Receita]],LANÇAMENTOS[[#This Row],[Transferência]])</f>
        <v>420</v>
      </c>
      <c r="R106" s="1" t="str">
        <v>SONDA AGUA BRANCA</v>
      </c>
      <c r="S106" s="1" t="str">
        <v>Despesa</v>
      </c>
      <c r="T106" s="1" t="str">
        <v>LAZER</v>
      </c>
    </row>
    <row r="107" spans="2:20" x14ac:dyDescent="0.25">
      <c r="B107" s="2">
        <v>45987</v>
      </c>
      <c r="C107" s="2" t="str">
        <f>UPPER(TEXT(LANÇAMENTOS[[#This Row],[Data]],"mmm"))</f>
        <v>NOV</v>
      </c>
      <c r="D107" s="2" t="str">
        <f>UPPER(TEXT(LANÇAMENTOS[[#This Row],[Data]],"AAAA"))</f>
        <v>2025</v>
      </c>
      <c r="E107" s="1" t="s">
        <v>91</v>
      </c>
      <c r="F107" s="1" t="s">
        <v>4</v>
      </c>
      <c r="G107" s="1" t="s">
        <v>28</v>
      </c>
      <c r="H107" s="1" t="str">
        <f>LANÇAMENTOS[[#This Row],[Categoria]]&amp;"-"&amp;LANÇAMENTOS[[#This Row],[Descrição]]</f>
        <v>PIX ROLE-pix renan</v>
      </c>
      <c r="I107" s="1" t="str">
        <f>VLOOKUP(LANÇAMENTOS[[#This Row],[Coluna1]],[1]Planilha2!$K$2:$O$130,4,0)</f>
        <v>Lazer</v>
      </c>
      <c r="J107" s="1" t="str">
        <f>VLOOKUP(LANÇAMENTOS[[#This Row],[Coluna1]],[1]Planilha2!$K$2:$O$130,5,0)</f>
        <v>Role</v>
      </c>
      <c r="L107" s="14">
        <v>5</v>
      </c>
      <c r="N107" s="1">
        <f>IF(ISNUMBER(LANÇAMENTOS[[#This Row],[Receita]]),LANÇAMENTOS[[#This Row],[Receita]],LANÇAMENTOS[[#This Row],[Transferência]])</f>
        <v>5</v>
      </c>
      <c r="R107" s="1" t="str">
        <v>Transfe Pix</v>
      </c>
      <c r="S107" s="1" t="str">
        <v>Receita</v>
      </c>
      <c r="T107" s="1" t="str">
        <v>PIX ROLE</v>
      </c>
    </row>
    <row r="108" spans="2:20" x14ac:dyDescent="0.25">
      <c r="B108" s="2">
        <v>45988</v>
      </c>
      <c r="C108" s="2" t="str">
        <f>UPPER(TEXT(LANÇAMENTOS[[#This Row],[Data]],"mmm"))</f>
        <v>NOV</v>
      </c>
      <c r="D108" s="2" t="str">
        <f>UPPER(TEXT(LANÇAMENTOS[[#This Row],[Data]],"AAAA"))</f>
        <v>2025</v>
      </c>
      <c r="E108" s="1" t="s">
        <v>18</v>
      </c>
      <c r="F108" s="1" t="s">
        <v>5</v>
      </c>
      <c r="G108" s="1" t="s">
        <v>25</v>
      </c>
      <c r="H108" s="1" t="str">
        <f>LANÇAMENTOS[[#This Row],[Categoria]]&amp;"-"&amp;LANÇAMENTOS[[#This Row],[Descrição]]</f>
        <v>SALÁRIO-Salario clt</v>
      </c>
      <c r="I108" s="1" t="str">
        <f>VLOOKUP(LANÇAMENTOS[[#This Row],[Coluna1]],[1]Planilha2!$K$2:$O$130,4,0)</f>
        <v>Profissional</v>
      </c>
      <c r="J108" s="1" t="str">
        <f>VLOOKUP(LANÇAMENTOS[[#This Row],[Coluna1]],[1]Planilha2!$K$2:$O$130,5,0)</f>
        <v>Salário</v>
      </c>
      <c r="K108" s="14">
        <v>5262.43</v>
      </c>
      <c r="N108" s="1">
        <f>IF(ISNUMBER(LANÇAMENTOS[[#This Row],[Receita]]),LANÇAMENTOS[[#This Row],[Receita]],LANÇAMENTOS[[#This Row],[Transferência]])</f>
        <v>5262.43</v>
      </c>
      <c r="R108" s="1" t="str">
        <v>GRAN  COFFEE</v>
      </c>
      <c r="S108" s="1" t="str">
        <v>Despesa</v>
      </c>
      <c r="T108" s="1" t="str">
        <v>ALIMENTAÇÃO</v>
      </c>
    </row>
    <row r="109" spans="2:20" x14ac:dyDescent="0.25">
      <c r="B109" s="2">
        <v>45988</v>
      </c>
      <c r="C109" s="2" t="str">
        <f>UPPER(TEXT(LANÇAMENTOS[[#This Row],[Data]],"mmm"))</f>
        <v>NOV</v>
      </c>
      <c r="D109" s="2" t="str">
        <f>UPPER(TEXT(LANÇAMENTOS[[#This Row],[Data]],"AAAA"))</f>
        <v>2025</v>
      </c>
      <c r="E109" s="1" t="s">
        <v>89</v>
      </c>
      <c r="F109" s="1" t="s">
        <v>5</v>
      </c>
      <c r="G109" s="1" t="s">
        <v>25</v>
      </c>
      <c r="H109" s="1" t="str">
        <f>LANÇAMENTOS[[#This Row],[Categoria]]&amp;"-"&amp;LANÇAMENTOS[[#This Row],[Descrição]]</f>
        <v>SALÁRIO-13o salario</v>
      </c>
      <c r="I109" s="1" t="str">
        <f>VLOOKUP(LANÇAMENTOS[[#This Row],[Coluna1]],[1]Planilha2!$K$2:$O$130,4,0)</f>
        <v>Profissional</v>
      </c>
      <c r="J109" s="1" t="str">
        <f>VLOOKUP(LANÇAMENTOS[[#This Row],[Coluna1]],[1]Planilha2!$K$2:$O$130,5,0)</f>
        <v>13o</v>
      </c>
      <c r="K109" s="14">
        <v>1312.51</v>
      </c>
      <c r="N109" s="1">
        <f>IF(ISNUMBER(LANÇAMENTOS[[#This Row],[Receita]]),LANÇAMENTOS[[#This Row],[Receita]],LANÇAMENTOS[[#This Row],[Transferência]])</f>
        <v>1312.51</v>
      </c>
      <c r="R109" s="1" t="str">
        <v>COZINHA 212</v>
      </c>
      <c r="S109" s="1" t="str">
        <v>Despesa</v>
      </c>
      <c r="T109" s="1" t="str">
        <v>ALIMENTAÇÃO</v>
      </c>
    </row>
    <row r="110" spans="2:20" x14ac:dyDescent="0.25">
      <c r="B110" s="2">
        <v>45988</v>
      </c>
      <c r="C110" s="2" t="str">
        <f>UPPER(TEXT(LANÇAMENTOS[[#This Row],[Data]],"mmm"))</f>
        <v>NOV</v>
      </c>
      <c r="D110" s="2" t="str">
        <f>UPPER(TEXT(LANÇAMENTOS[[#This Row],[Data]],"AAAA"))</f>
        <v>2025</v>
      </c>
      <c r="E110" s="1" t="s">
        <v>19</v>
      </c>
      <c r="F110" s="1" t="s">
        <v>20</v>
      </c>
      <c r="G110" s="1" t="s">
        <v>21</v>
      </c>
      <c r="H110" s="1" t="str">
        <f>LANÇAMENTOS[[#This Row],[Categoria]]&amp;"-"&amp;LANÇAMENTOS[[#This Row],[Descrição]]</f>
        <v>PREV. PRIVADA-prev privada</v>
      </c>
      <c r="I110" s="1" t="str">
        <f>VLOOKUP(LANÇAMENTOS[[#This Row],[Coluna1]],[1]Planilha2!$K$2:$O$130,4,0)</f>
        <v>Investimentos</v>
      </c>
      <c r="J110" s="1" t="str">
        <f>VLOOKUP(LANÇAMENTOS[[#This Row],[Coluna1]],[1]Planilha2!$K$2:$O$130,5,0)</f>
        <v>Previdência Privada</v>
      </c>
      <c r="L110" s="14">
        <v>252</v>
      </c>
      <c r="N110" s="1">
        <f>IF(ISNUMBER(LANÇAMENTOS[[#This Row],[Receita]]),LANÇAMENTOS[[#This Row],[Receita]],LANÇAMENTOS[[#This Row],[Transferência]])</f>
        <v>252</v>
      </c>
      <c r="R110" s="1" t="str">
        <v>OPENAI *CHATGPT SUBSCR</v>
      </c>
      <c r="S110" s="1" t="str">
        <v>Despesa</v>
      </c>
      <c r="T110" s="1" t="str">
        <v>ASSINATURA</v>
      </c>
    </row>
    <row r="111" spans="2:20" x14ac:dyDescent="0.25">
      <c r="B111" s="2">
        <v>45989</v>
      </c>
      <c r="C111" s="2" t="str">
        <f>UPPER(TEXT(LANÇAMENTOS[[#This Row],[Data]],"mmm"))</f>
        <v>NOV</v>
      </c>
      <c r="D111" s="2" t="str">
        <f>UPPER(TEXT(LANÇAMENTOS[[#This Row],[Data]],"AAAA"))</f>
        <v>2025</v>
      </c>
      <c r="E111" s="1" t="s">
        <v>20</v>
      </c>
      <c r="F111" s="1" t="s">
        <v>5</v>
      </c>
      <c r="G111" s="1" t="s">
        <v>59</v>
      </c>
      <c r="H111" s="1" t="str">
        <f>LANÇAMENTOS[[#This Row],[Categoria]]&amp;"-"&amp;LANÇAMENTOS[[#This Row],[Descrição]]</f>
        <v>INVESTIMENTO-investimento</v>
      </c>
      <c r="I111" s="1" t="str">
        <f>VLOOKUP(LANÇAMENTOS[[#This Row],[Coluna1]],[1]Planilha2!$K$2:$O$130,4,0)</f>
        <v>Investimentos</v>
      </c>
      <c r="J111" s="1" t="str">
        <f>VLOOKUP(LANÇAMENTOS[[#This Row],[Coluna1]],[1]Planilha2!$K$2:$O$130,5,0)</f>
        <v>Renda Fixa</v>
      </c>
      <c r="K111" s="14">
        <v>8.99</v>
      </c>
      <c r="N111" s="1">
        <f>IF(ISNUMBER(LANÇAMENTOS[[#This Row],[Receita]]),LANÇAMENTOS[[#This Row],[Receita]],LANÇAMENTOS[[#This Row],[Transferência]])</f>
        <v>8.99</v>
      </c>
      <c r="R111" s="1" t="str">
        <v>KIWIFY *HelpspyAds</v>
      </c>
      <c r="S111" s="1" t="str">
        <v>Despesa</v>
      </c>
      <c r="T111" s="1" t="str">
        <v>ASSINATURA</v>
      </c>
    </row>
    <row r="112" spans="2:20" x14ac:dyDescent="0.25">
      <c r="B112" s="2">
        <v>45989</v>
      </c>
      <c r="C112" s="2" t="str">
        <f>UPPER(TEXT(LANÇAMENTOS[[#This Row],[Data]],"mmm"))</f>
        <v>NOV</v>
      </c>
      <c r="D112" s="2" t="str">
        <f>UPPER(TEXT(LANÇAMENTOS[[#This Row],[Data]],"AAAA"))</f>
        <v>2025</v>
      </c>
      <c r="E112" s="1" t="s">
        <v>93</v>
      </c>
      <c r="F112" s="1" t="s">
        <v>4</v>
      </c>
      <c r="G112" s="1" t="s">
        <v>81</v>
      </c>
      <c r="H112" s="1" t="str">
        <f>LANÇAMENTOS[[#This Row],[Categoria]]&amp;"-"&amp;LANÇAMENTOS[[#This Row],[Descrição]]</f>
        <v>NATI-Presente nati</v>
      </c>
      <c r="I112" s="1" t="str">
        <f>VLOOKUP(LANÇAMENTOS[[#This Row],[Coluna1]],[1]Planilha2!$K$2:$O$130,4,0)</f>
        <v>Relacionamento</v>
      </c>
      <c r="J112" s="1" t="str">
        <f>VLOOKUP(LANÇAMENTOS[[#This Row],[Coluna1]],[1]Planilha2!$K$2:$O$130,5,0)</f>
        <v>Nati</v>
      </c>
      <c r="L112" s="14">
        <v>244.68</v>
      </c>
      <c r="N112" s="1">
        <f>IF(ISNUMBER(LANÇAMENTOS[[#This Row],[Receita]]),LANÇAMENTOS[[#This Row],[Receita]],LANÇAMENTOS[[#This Row],[Transferência]])</f>
        <v>244.68</v>
      </c>
      <c r="R112" s="1" t="str">
        <v>IOF S/ TRANS INTER REAIS</v>
      </c>
      <c r="S112" s="1" t="str">
        <v>Despesa</v>
      </c>
      <c r="T112" s="1" t="str">
        <v>LAZER</v>
      </c>
    </row>
    <row r="113" spans="2:20" x14ac:dyDescent="0.25">
      <c r="B113" s="2">
        <v>45989</v>
      </c>
      <c r="C113" s="2" t="str">
        <f>UPPER(TEXT(LANÇAMENTOS[[#This Row],[Data]],"mmm"))</f>
        <v>NOV</v>
      </c>
      <c r="D113" s="2" t="str">
        <f>UPPER(TEXT(LANÇAMENTOS[[#This Row],[Data]],"AAAA"))</f>
        <v>2025</v>
      </c>
      <c r="E113" s="1" t="s">
        <v>34</v>
      </c>
      <c r="F113" s="1" t="s">
        <v>4</v>
      </c>
      <c r="G113" s="1" t="s">
        <v>35</v>
      </c>
      <c r="H113" s="1" t="str">
        <f>LANÇAMENTOS[[#This Row],[Categoria]]&amp;"-"&amp;LANÇAMENTOS[[#This Row],[Descrição]]</f>
        <v>TRANSPORTE-uber</v>
      </c>
      <c r="I113" s="1" t="str">
        <f>VLOOKUP(LANÇAMENTOS[[#This Row],[Coluna1]],[1]Planilha2!$K$2:$O$130,4,0)</f>
        <v>Transporte</v>
      </c>
      <c r="J113" s="1" t="str">
        <f>VLOOKUP(LANÇAMENTOS[[#This Row],[Coluna1]],[1]Planilha2!$K$2:$O$130,5,0)</f>
        <v>Uber/táxi</v>
      </c>
      <c r="L113" s="14">
        <v>70.95</v>
      </c>
      <c r="N113" s="1">
        <f>IF(ISNUMBER(LANÇAMENTOS[[#This Row],[Receita]]),LANÇAMENTOS[[#This Row],[Receita]],LANÇAMENTOS[[#This Row],[Transferência]])</f>
        <v>70.95</v>
      </c>
      <c r="R113" s="1" t="str">
        <v>Cota</v>
      </c>
      <c r="S113" s="1" t="str">
        <v>Despesa</v>
      </c>
      <c r="T113" s="1" t="str">
        <v>PIX ROLE</v>
      </c>
    </row>
    <row r="114" spans="2:20" x14ac:dyDescent="0.25">
      <c r="B114" s="2">
        <v>45990</v>
      </c>
      <c r="C114" s="2" t="str">
        <f>UPPER(TEXT(LANÇAMENTOS[[#This Row],[Data]],"mmm"))</f>
        <v>NOV</v>
      </c>
      <c r="D114" s="2" t="str">
        <f>UPPER(TEXT(LANÇAMENTOS[[#This Row],[Data]],"AAAA"))</f>
        <v>2025</v>
      </c>
      <c r="E114" s="1" t="s">
        <v>87</v>
      </c>
      <c r="F114" s="1" t="s">
        <v>4</v>
      </c>
      <c r="G114" s="1" t="s">
        <v>27</v>
      </c>
      <c r="H114" s="1" t="str">
        <f>LANÇAMENTOS[[#This Row],[Categoria]]&amp;"-"&amp;LANÇAMENTOS[[#This Row],[Descrição]]</f>
        <v>LAZER-posto</v>
      </c>
      <c r="I114" s="1" t="str">
        <f>VLOOKUP(LANÇAMENTOS[[#This Row],[Coluna1]],[1]Planilha2!$K$2:$O$130,4,0)</f>
        <v>Transporte</v>
      </c>
      <c r="J114" s="1" t="str">
        <f>VLOOKUP(LANÇAMENTOS[[#This Row],[Coluna1]],[1]Planilha2!$K$2:$O$130,5,0)</f>
        <v>Gasolina</v>
      </c>
      <c r="L114" s="14">
        <v>59</v>
      </c>
      <c r="N114" s="1">
        <f>IF(ISNUMBER(LANÇAMENTOS[[#This Row],[Receita]]),LANÇAMENTOS[[#This Row],[Receita]],LANÇAMENTOS[[#This Row],[Transferência]])</f>
        <v>59</v>
      </c>
      <c r="R114" s="1" t="str">
        <v>Transfe Pix NICO</v>
      </c>
      <c r="S114" s="1" t="str">
        <v>Receita</v>
      </c>
      <c r="T114" s="1" t="str">
        <v>PIX ROLE</v>
      </c>
    </row>
    <row r="115" spans="2:20" x14ac:dyDescent="0.25">
      <c r="B115" s="2">
        <v>45990</v>
      </c>
      <c r="C115" s="2" t="str">
        <f>UPPER(TEXT(LANÇAMENTOS[[#This Row],[Data]],"mmm"))</f>
        <v>NOV</v>
      </c>
      <c r="D115" s="2" t="str">
        <f>UPPER(TEXT(LANÇAMENTOS[[#This Row],[Data]],"AAAA"))</f>
        <v>2025</v>
      </c>
      <c r="E115" s="1" t="s">
        <v>53</v>
      </c>
      <c r="F115" s="1" t="s">
        <v>4</v>
      </c>
      <c r="G115" s="1" t="s">
        <v>46</v>
      </c>
      <c r="H115" s="1" t="str">
        <f>LANÇAMENTOS[[#This Row],[Categoria]]&amp;"-"&amp;LANÇAMENTOS[[#This Row],[Descrição]]</f>
        <v>CUIDADOS PESSOAIS-farmacia</v>
      </c>
      <c r="I115" s="1" t="str">
        <f>VLOOKUP(LANÇAMENTOS[[#This Row],[Coluna1]],[1]Planilha2!$K$2:$O$130,4,0)</f>
        <v>Saúde</v>
      </c>
      <c r="J115" s="1" t="str">
        <f>VLOOKUP(LANÇAMENTOS[[#This Row],[Coluna1]],[1]Planilha2!$K$2:$O$130,5,0)</f>
        <v>Farmácia</v>
      </c>
      <c r="L115" s="14">
        <v>26.4</v>
      </c>
      <c r="N115" s="1">
        <f>IF(ISNUMBER(LANÇAMENTOS[[#This Row],[Receita]]),LANÇAMENTOS[[#This Row],[Receita]],LANÇAMENTOS[[#This Row],[Transferência]])</f>
        <v>26.4</v>
      </c>
      <c r="R115" s="1" t="str">
        <v>Transfe Pix Quental</v>
      </c>
      <c r="S115" s="1" t="str">
        <v>Receita</v>
      </c>
      <c r="T115" s="1" t="str">
        <v>PIX ROLE</v>
      </c>
    </row>
    <row r="116" spans="2:20" x14ac:dyDescent="0.25">
      <c r="B116" s="2">
        <v>45990</v>
      </c>
      <c r="C116" s="2" t="str">
        <f>UPPER(TEXT(LANÇAMENTOS[[#This Row],[Data]],"mmm"))</f>
        <v>NOV</v>
      </c>
      <c r="D116" s="2" t="str">
        <f>UPPER(TEXT(LANÇAMENTOS[[#This Row],[Data]],"AAAA"))</f>
        <v>2025</v>
      </c>
      <c r="E116" s="1" t="s">
        <v>87</v>
      </c>
      <c r="F116" s="1" t="s">
        <v>4</v>
      </c>
      <c r="G116" s="1" t="s">
        <v>88</v>
      </c>
      <c r="H116" s="1" t="str">
        <f>LANÇAMENTOS[[#This Row],[Categoria]]&amp;"-"&amp;LANÇAMENTOS[[#This Row],[Descrição]]</f>
        <v>Gasolina-posto</v>
      </c>
      <c r="I116" s="1" t="str">
        <f>VLOOKUP(LANÇAMENTOS[[#This Row],[Coluna1]],[1]Planilha2!$K$2:$O$130,4,0)</f>
        <v>Transporte</v>
      </c>
      <c r="J116" s="1" t="str">
        <f>VLOOKUP(LANÇAMENTOS[[#This Row],[Coluna1]],[1]Planilha2!$K$2:$O$130,5,0)</f>
        <v>Gasolina</v>
      </c>
      <c r="L116" s="14">
        <v>253.03</v>
      </c>
      <c r="N116" s="1">
        <f>IF(ISNUMBER(LANÇAMENTOS[[#This Row],[Receita]]),LANÇAMENTOS[[#This Row],[Receita]],LANÇAMENTOS[[#This Row],[Transferência]])</f>
        <v>253.03</v>
      </c>
      <c r="R116" s="1" t="str">
        <v>THE CHAMPS - A BARBEAR</v>
      </c>
      <c r="S116" s="1" t="str">
        <v>Despesa</v>
      </c>
      <c r="T116" s="1" t="str">
        <v>CUIDADOS PESSOAIS</v>
      </c>
    </row>
    <row r="117" spans="2:20" x14ac:dyDescent="0.25">
      <c r="B117" s="2">
        <v>45990</v>
      </c>
      <c r="C117" s="2" t="str">
        <f>UPPER(TEXT(LANÇAMENTOS[[#This Row],[Data]],"mmm"))</f>
        <v>NOV</v>
      </c>
      <c r="D117" s="2" t="str">
        <f>UPPER(TEXT(LANÇAMENTOS[[#This Row],[Data]],"AAAA"))</f>
        <v>2025</v>
      </c>
      <c r="E117" s="1" t="s">
        <v>34</v>
      </c>
      <c r="F117" s="1" t="s">
        <v>4</v>
      </c>
      <c r="G117" s="1" t="s">
        <v>35</v>
      </c>
      <c r="H117" s="1" t="str">
        <f>LANÇAMENTOS[[#This Row],[Categoria]]&amp;"-"&amp;LANÇAMENTOS[[#This Row],[Descrição]]</f>
        <v>TRANSPORTE-uber</v>
      </c>
      <c r="I117" s="1" t="str">
        <f>VLOOKUP(LANÇAMENTOS[[#This Row],[Coluna1]],[1]Planilha2!$K$2:$O$130,4,0)</f>
        <v>Transporte</v>
      </c>
      <c r="J117" s="1" t="str">
        <f>VLOOKUP(LANÇAMENTOS[[#This Row],[Coluna1]],[1]Planilha2!$K$2:$O$130,5,0)</f>
        <v>Uber/táxi</v>
      </c>
      <c r="L117" s="14">
        <v>102.99</v>
      </c>
      <c r="N117" s="1">
        <f>IF(ISNUMBER(LANÇAMENTOS[[#This Row],[Receita]]),LANÇAMENTOS[[#This Row],[Receita]],LANÇAMENTOS[[#This Row],[Transferência]])</f>
        <v>102.99</v>
      </c>
      <c r="R117" s="1" t="str">
        <v>D-EDGE FESTIVAL</v>
      </c>
      <c r="S117" s="1" t="str">
        <v>Despesa</v>
      </c>
      <c r="T117" s="1" t="str">
        <v>LAZER</v>
      </c>
    </row>
    <row r="118" spans="2:20" x14ac:dyDescent="0.25">
      <c r="B118" s="2">
        <v>45990</v>
      </c>
      <c r="C118" s="2" t="str">
        <f>UPPER(TEXT(LANÇAMENTOS[[#This Row],[Data]],"mmm"))</f>
        <v>NOV</v>
      </c>
      <c r="D118" s="2" t="str">
        <f>UPPER(TEXT(LANÇAMENTOS[[#This Row],[Data]],"AAAA"))</f>
        <v>2025</v>
      </c>
      <c r="E118" s="1" t="s">
        <v>38</v>
      </c>
      <c r="F118" s="1" t="s">
        <v>4</v>
      </c>
      <c r="G118" s="1" t="s">
        <v>27</v>
      </c>
      <c r="H118" s="1" t="str">
        <f>LANÇAMENTOS[[#This Row],[Categoria]]&amp;"-"&amp;LANÇAMENTOS[[#This Row],[Descrição]]</f>
        <v>LAZER-cerveja</v>
      </c>
      <c r="I118" s="1" t="str">
        <f>VLOOKUP(LANÇAMENTOS[[#This Row],[Coluna1]],[1]Planilha2!$K$2:$O$130,4,0)</f>
        <v>Lazer</v>
      </c>
      <c r="J118" s="1" t="str">
        <f>VLOOKUP(LANÇAMENTOS[[#This Row],[Coluna1]],[1]Planilha2!$K$2:$O$130,5,0)</f>
        <v>Bar</v>
      </c>
      <c r="L118" s="14">
        <v>55</v>
      </c>
      <c r="N118" s="1">
        <f>IF(ISNUMBER(LANÇAMENTOS[[#This Row],[Receita]]),LANÇAMENTOS[[#This Row],[Receita]],LANÇAMENTOS[[#This Row],[Transferência]])</f>
        <v>55</v>
      </c>
      <c r="R118" s="1" t="str">
        <v>pix role</v>
      </c>
      <c r="S118" s="1" t="str">
        <v>Despesa</v>
      </c>
      <c r="T118" s="1" t="str">
        <v>LAZER</v>
      </c>
    </row>
    <row r="119" spans="2:20" x14ac:dyDescent="0.25">
      <c r="B119" s="2">
        <v>45992</v>
      </c>
      <c r="C119" s="2" t="str">
        <f>UPPER(TEXT(LANÇAMENTOS[[#This Row],[Data]],"mmm"))</f>
        <v>DEZ</v>
      </c>
      <c r="D119" s="2" t="str">
        <f>UPPER(TEXT(LANÇAMENTOS[[#This Row],[Data]],"AAAA"))</f>
        <v>2025</v>
      </c>
      <c r="E119" s="1" t="s">
        <v>92</v>
      </c>
      <c r="F119" s="1" t="s">
        <v>5</v>
      </c>
      <c r="G119" s="1" t="s">
        <v>28</v>
      </c>
      <c r="H119" s="1" t="str">
        <f>LANÇAMENTOS[[#This Row],[Categoria]]&amp;"-"&amp;LANÇAMENTOS[[#This Row],[Descrição]]</f>
        <v>PIX ROLE-uber franco pix</v>
      </c>
      <c r="I119" s="1" t="str">
        <f>VLOOKUP(LANÇAMENTOS[[#This Row],[Coluna1]],[1]Planilha2!$K$2:$O$130,4,0)</f>
        <v>Lazer</v>
      </c>
      <c r="J119" s="1" t="str">
        <f>VLOOKUP(LANÇAMENTOS[[#This Row],[Coluna1]],[1]Planilha2!$K$2:$O$130,5,0)</f>
        <v>Role</v>
      </c>
      <c r="K119" s="14">
        <v>51</v>
      </c>
      <c r="N119" s="1">
        <f>IF(ISNUMBER(LANÇAMENTOS[[#This Row],[Receita]]),LANÇAMENTOS[[#This Row],[Receita]],LANÇAMENTOS[[#This Row],[Transferência]])</f>
        <v>51</v>
      </c>
      <c r="R119" s="1" t="str">
        <v>benihana</v>
      </c>
      <c r="S119" s="1" t="str">
        <v>Despesa</v>
      </c>
      <c r="T119" s="1" t="str">
        <v>ALIMENTAÇÃO</v>
      </c>
    </row>
    <row r="120" spans="2:20" x14ac:dyDescent="0.25">
      <c r="B120" s="2">
        <v>45992</v>
      </c>
      <c r="C120" s="2" t="str">
        <f>UPPER(TEXT(LANÇAMENTOS[[#This Row],[Data]],"mmm"))</f>
        <v>DEZ</v>
      </c>
      <c r="D120" s="2" t="str">
        <f>UPPER(TEXT(LANÇAMENTOS[[#This Row],[Data]],"AAAA"))</f>
        <v>2025</v>
      </c>
      <c r="E120" s="1" t="s">
        <v>63</v>
      </c>
      <c r="F120" s="1" t="s">
        <v>5</v>
      </c>
      <c r="G120" s="1" t="s">
        <v>28</v>
      </c>
      <c r="H120" s="1" t="str">
        <f>LANÇAMENTOS[[#This Row],[Categoria]]&amp;"-"&amp;LANÇAMENTOS[[#This Row],[Descrição]]</f>
        <v>PIX ROLE-pix</v>
      </c>
      <c r="I120" s="1" t="str">
        <f>VLOOKUP(LANÇAMENTOS[[#This Row],[Coluna1]],[1]Planilha2!$K$2:$O$130,4,0)</f>
        <v>Lazer</v>
      </c>
      <c r="J120" s="1" t="str">
        <f>VLOOKUP(LANÇAMENTOS[[#This Row],[Coluna1]],[1]Planilha2!$K$2:$O$130,5,0)</f>
        <v>Role</v>
      </c>
      <c r="K120" s="14">
        <v>12</v>
      </c>
      <c r="N120" s="1">
        <f>IF(ISNUMBER(LANÇAMENTOS[[#This Row],[Receita]]),LANÇAMENTOS[[#This Row],[Receita]],LANÇAMENTOS[[#This Row],[Transferência]])</f>
        <v>12</v>
      </c>
      <c r="R120" s="1" t="str">
        <v>VA</v>
      </c>
      <c r="S120" s="1" t="str">
        <v>Receita</v>
      </c>
      <c r="T120" s="1" t="str">
        <v>VA</v>
      </c>
    </row>
    <row r="121" spans="2:20" x14ac:dyDescent="0.25">
      <c r="B121" s="2">
        <v>45992</v>
      </c>
      <c r="C121" s="2" t="str">
        <f>UPPER(TEXT(LANÇAMENTOS[[#This Row],[Data]],"mmm"))</f>
        <v>DEZ</v>
      </c>
      <c r="D121" s="2" t="str">
        <f>UPPER(TEXT(LANÇAMENTOS[[#This Row],[Data]],"AAAA"))</f>
        <v>2025</v>
      </c>
      <c r="E121" s="1" t="s">
        <v>117</v>
      </c>
      <c r="F121" s="1" t="s">
        <v>20</v>
      </c>
      <c r="G121" s="1" t="s">
        <v>59</v>
      </c>
      <c r="H121" s="1" t="str">
        <f>LANÇAMENTOS[[#This Row],[Categoria]]&amp;"-"&amp;LANÇAMENTOS[[#This Row],[Descrição]]</f>
        <v>INVESTIMENTO-aplicação CDB</v>
      </c>
      <c r="I121" s="1" t="str">
        <f>VLOOKUP(LANÇAMENTOS[[#This Row],[Coluna1]],[1]Planilha2!$K$2:$O$130,4,0)</f>
        <v>Investimentos</v>
      </c>
      <c r="J121" s="1" t="str">
        <f>VLOOKUP(LANÇAMENTOS[[#This Row],[Coluna1]],[1]Planilha2!$K$2:$O$130,5,0)</f>
        <v>Renda Fixa</v>
      </c>
      <c r="L121" s="14">
        <v>3500</v>
      </c>
      <c r="N121" s="1">
        <f>IF(ISNUMBER(LANÇAMENTOS[[#This Row],[Receita]]),LANÇAMENTOS[[#This Row],[Receita]],LANÇAMENTOS[[#This Row],[Transferência]])</f>
        <v>3500</v>
      </c>
      <c r="R121" s="1" t="str">
        <v>TROFEU CERVEGAMES</v>
      </c>
      <c r="S121" s="1" t="str">
        <v>Despesa</v>
      </c>
      <c r="T121" s="1" t="str">
        <v>LAZER</v>
      </c>
    </row>
    <row r="122" spans="2:20" x14ac:dyDescent="0.25">
      <c r="B122" s="2">
        <v>45992</v>
      </c>
      <c r="C122" s="2" t="str">
        <f>UPPER(TEXT(LANÇAMENTOS[[#This Row],[Data]],"mmm"))</f>
        <v>DEZ</v>
      </c>
      <c r="D122" s="2" t="str">
        <f>UPPER(TEXT(LANÇAMENTOS[[#This Row],[Data]],"AAAA"))</f>
        <v>2025</v>
      </c>
      <c r="E122" s="1" t="s">
        <v>94</v>
      </c>
      <c r="F122" s="1" t="s">
        <v>20</v>
      </c>
      <c r="G122" s="1" t="s">
        <v>59</v>
      </c>
      <c r="H122" s="1" t="str">
        <f>LANÇAMENTOS[[#This Row],[Categoria]]&amp;"-"&amp;LANÇAMENTOS[[#This Row],[Descrição]]</f>
        <v>INVESTIMENTO-XPML11</v>
      </c>
      <c r="I122" s="1" t="str">
        <f>VLOOKUP(LANÇAMENTOS[[#This Row],[Coluna1]],[1]Planilha2!$K$2:$O$130,4,0)</f>
        <v>Investimentos</v>
      </c>
      <c r="J122" s="1" t="str">
        <f>VLOOKUP(LANÇAMENTOS[[#This Row],[Coluna1]],[1]Planilha2!$K$2:$O$130,5,0)</f>
        <v>FII</v>
      </c>
      <c r="L122" s="14">
        <v>752.82</v>
      </c>
      <c r="N122" s="1">
        <f>IF(ISNUMBER(LANÇAMENTOS[[#This Row],[Receita]]),LANÇAMENTOS[[#This Row],[Receita]],LANÇAMENTOS[[#This Row],[Transferência]])</f>
        <v>752.82</v>
      </c>
      <c r="R122" s="1" t="str">
        <v>Apartamento</v>
      </c>
      <c r="S122" s="1" t="str">
        <v>investimento</v>
      </c>
      <c r="T122" s="1" t="str">
        <v>APARTAMENTO</v>
      </c>
    </row>
    <row r="123" spans="2:20" x14ac:dyDescent="0.25">
      <c r="B123" s="2">
        <v>45992</v>
      </c>
      <c r="C123" s="2" t="str">
        <f>UPPER(TEXT(LANÇAMENTOS[[#This Row],[Data]],"mmm"))</f>
        <v>DEZ</v>
      </c>
      <c r="D123" s="2" t="str">
        <f>UPPER(TEXT(LANÇAMENTOS[[#This Row],[Data]],"AAAA"))</f>
        <v>2025</v>
      </c>
      <c r="E123" s="1" t="s">
        <v>95</v>
      </c>
      <c r="F123" s="1" t="s">
        <v>20</v>
      </c>
      <c r="G123" s="1" t="s">
        <v>59</v>
      </c>
      <c r="H123" s="1" t="str">
        <f>LANÇAMENTOS[[#This Row],[Categoria]]&amp;"-"&amp;LANÇAMENTOS[[#This Row],[Descrição]]</f>
        <v>INVESTIMENTO-PVBI11</v>
      </c>
      <c r="I123" s="1" t="str">
        <f>VLOOKUP(LANÇAMENTOS[[#This Row],[Coluna1]],[1]Planilha2!$K$2:$O$130,4,0)</f>
        <v>Investimentos</v>
      </c>
      <c r="J123" s="1" t="str">
        <f>VLOOKUP(LANÇAMENTOS[[#This Row],[Coluna1]],[1]Planilha2!$K$2:$O$130,5,0)</f>
        <v>FII</v>
      </c>
      <c r="L123" s="14">
        <v>711.54</v>
      </c>
      <c r="N123" s="1">
        <f>IF(ISNUMBER(LANÇAMENTOS[[#This Row],[Receita]]),LANÇAMENTOS[[#This Row],[Receita]],LANÇAMENTOS[[#This Row],[Transferência]])</f>
        <v>711.54</v>
      </c>
      <c r="R123" s="1" t="str">
        <v>Gasto c Credito</v>
      </c>
      <c r="S123" s="1" t="str">
        <v>Despesa</v>
      </c>
      <c r="T123" s="1" t="str">
        <v>CARTÃO</v>
      </c>
    </row>
    <row r="124" spans="2:20" x14ac:dyDescent="0.25">
      <c r="B124" s="2">
        <v>45992</v>
      </c>
      <c r="C124" s="2" t="str">
        <f>UPPER(TEXT(LANÇAMENTOS[[#This Row],[Data]],"mmm"))</f>
        <v>DEZ</v>
      </c>
      <c r="D124" s="2" t="str">
        <f>UPPER(TEXT(LANÇAMENTOS[[#This Row],[Data]],"AAAA"))</f>
        <v>2025</v>
      </c>
      <c r="E124" s="1" t="s">
        <v>110</v>
      </c>
      <c r="F124" s="1" t="s">
        <v>4</v>
      </c>
      <c r="G124" s="1" t="s">
        <v>78</v>
      </c>
      <c r="H124" s="1" t="str">
        <f>LANÇAMENTOS[[#This Row],[Categoria]]&amp;"-"&amp;LANÇAMENTOS[[#This Row],[Descrição]]</f>
        <v>MARKETING-PEROLA NEGRA - MKT</v>
      </c>
      <c r="I124" s="1" t="str">
        <f>VLOOKUP(LANÇAMENTOS[[#This Row],[Coluna1]],[1]Planilha2!$K$2:$O$130,4,0)</f>
        <v>Assinatura</v>
      </c>
      <c r="J124" s="1" t="str">
        <f>VLOOKUP(LANÇAMENTOS[[#This Row],[Coluna1]],[1]Planilha2!$K$2:$O$130,5,0)</f>
        <v>Serviço</v>
      </c>
      <c r="L124" s="14">
        <v>147</v>
      </c>
      <c r="N124" s="1">
        <f>IF(ISNUMBER(LANÇAMENTOS[[#This Row],[Receita]]),LANÇAMENTOS[[#This Row],[Receita]],LANÇAMENTOS[[#This Row],[Transferência]])</f>
        <v>147</v>
      </c>
      <c r="R124" s="1" t="str">
        <v>Aplicacao Cdb</v>
      </c>
      <c r="S124" s="1" t="str">
        <v>investimento</v>
      </c>
      <c r="T124" s="1" t="str">
        <v>INVESTIMENTO</v>
      </c>
    </row>
    <row r="125" spans="2:20" x14ac:dyDescent="0.25">
      <c r="B125" s="2">
        <v>45992</v>
      </c>
      <c r="C125" s="2" t="str">
        <f>UPPER(TEXT(LANÇAMENTOS[[#This Row],[Data]],"mmm"))</f>
        <v>DEZ</v>
      </c>
      <c r="D125" s="2" t="str">
        <f>UPPER(TEXT(LANÇAMENTOS[[#This Row],[Data]],"AAAA"))</f>
        <v>2025</v>
      </c>
      <c r="E125" s="1" t="s">
        <v>118</v>
      </c>
      <c r="F125" s="1" t="s">
        <v>4</v>
      </c>
      <c r="G125" s="1" t="s">
        <v>27</v>
      </c>
      <c r="H125" s="1" t="str">
        <f>LANÇAMENTOS[[#This Row],[Categoria]]&amp;"-"&amp;LANÇAMENTOS[[#This Row],[Descrição]]</f>
        <v>LAZER-PIX LUCAS</v>
      </c>
      <c r="I125" s="1" t="str">
        <f>VLOOKUP(LANÇAMENTOS[[#This Row],[Coluna1]],[1]Planilha2!$K$2:$O$130,4,0)</f>
        <v>Lazer</v>
      </c>
      <c r="J125" s="1" t="str">
        <f>VLOOKUP(LANÇAMENTOS[[#This Row],[Coluna1]],[1]Planilha2!$K$2:$O$130,5,0)</f>
        <v>Pix</v>
      </c>
      <c r="L125" s="14">
        <v>20</v>
      </c>
      <c r="N125" s="1">
        <f>IF(ISNUMBER(LANÇAMENTOS[[#This Row],[Receita]]),LANÇAMENTOS[[#This Row],[Receita]],LANÇAMENTOS[[#This Row],[Transferência]])</f>
        <v>20</v>
      </c>
      <c r="R125" s="1" t="str">
        <v>adesivo cervegames</v>
      </c>
      <c r="S125" s="1" t="str">
        <v>Despesa</v>
      </c>
      <c r="T125" s="1" t="str">
        <v>LAZER</v>
      </c>
    </row>
    <row r="126" spans="2:20" x14ac:dyDescent="0.25">
      <c r="B126" s="2">
        <v>45994</v>
      </c>
      <c r="C126" s="2" t="str">
        <f>UPPER(TEXT(LANÇAMENTOS[[#This Row],[Data]],"mmm"))</f>
        <v>DEZ</v>
      </c>
      <c r="D126" s="2" t="str">
        <f>UPPER(TEXT(LANÇAMENTOS[[#This Row],[Data]],"AAAA"))</f>
        <v>2025</v>
      </c>
      <c r="E126" s="1" t="s">
        <v>77</v>
      </c>
      <c r="F126" s="1" t="s">
        <v>4</v>
      </c>
      <c r="G126" s="1" t="s">
        <v>78</v>
      </c>
      <c r="H126" s="1" t="str">
        <f>LANÇAMENTOS[[#This Row],[Categoria]]&amp;"-"&amp;LANÇAMENTOS[[#This Row],[Descrição]]</f>
        <v>MARKETING-spyads - mkt</v>
      </c>
      <c r="I126" s="1" t="str">
        <f>VLOOKUP(LANÇAMENTOS[[#This Row],[Coluna1]],[1]Planilha2!$K$2:$O$130,4,0)</f>
        <v>Assinatura</v>
      </c>
      <c r="J126" s="1" t="str">
        <f>VLOOKUP(LANÇAMENTOS[[#This Row],[Coluna1]],[1]Planilha2!$K$2:$O$130,5,0)</f>
        <v>Rateio</v>
      </c>
      <c r="L126" s="14">
        <v>80</v>
      </c>
      <c r="N126" s="1">
        <f>IF(ISNUMBER(LANÇAMENTOS[[#This Row],[Receita]]),LANÇAMENTOS[[#This Row],[Receita]],LANÇAMENTOS[[#This Row],[Transferência]])</f>
        <v>80</v>
      </c>
      <c r="R126" s="1" t="str">
        <v>CAPINHA CELULAR</v>
      </c>
      <c r="S126" s="1" t="str">
        <v>Despesa</v>
      </c>
      <c r="T126" s="1" t="str">
        <v>CUIDADOS PESSOAIS</v>
      </c>
    </row>
    <row r="127" spans="2:20" x14ac:dyDescent="0.25">
      <c r="B127" s="2">
        <v>45994</v>
      </c>
      <c r="C127" s="2" t="str">
        <f>UPPER(TEXT(LANÇAMENTOS[[#This Row],[Data]],"mmm"))</f>
        <v>DEZ</v>
      </c>
      <c r="D127" s="2" t="str">
        <f>UPPER(TEXT(LANÇAMENTOS[[#This Row],[Data]],"AAAA"))</f>
        <v>2025</v>
      </c>
      <c r="E127" s="1" t="s">
        <v>115</v>
      </c>
      <c r="F127" s="1" t="s">
        <v>20</v>
      </c>
      <c r="G127" s="1" t="s">
        <v>59</v>
      </c>
      <c r="H127" s="1" t="str">
        <f>LANÇAMENTOS[[#This Row],[Categoria]]&amp;"-"&amp;LANÇAMENTOS[[#This Row],[Descrição]]</f>
        <v>INVESTIMENTO-Investimento FIIs</v>
      </c>
      <c r="I127" s="1" t="str">
        <f>VLOOKUP(LANÇAMENTOS[[#This Row],[Coluna1]],[1]Planilha2!$K$2:$O$130,4,0)</f>
        <v>Investimentos</v>
      </c>
      <c r="J127" s="1" t="str">
        <f>VLOOKUP(LANÇAMENTOS[[#This Row],[Coluna1]],[1]Planilha2!$K$2:$O$130,5,0)</f>
        <v>FII</v>
      </c>
      <c r="L127" s="14">
        <v>1464.32</v>
      </c>
      <c r="N127" s="1">
        <f>IF(ISNUMBER(LANÇAMENTOS[[#This Row],[Receita]]),LANÇAMENTOS[[#This Row],[Receita]],LANÇAMENTOS[[#This Row],[Transferência]])</f>
        <v>1464.32</v>
      </c>
      <c r="R127" s="1" t="str">
        <v>ZIG*AMATA</v>
      </c>
      <c r="S127" s="1" t="str">
        <v>Despesa</v>
      </c>
      <c r="T127" s="1" t="str">
        <v>LAZER</v>
      </c>
    </row>
    <row r="128" spans="2:20" x14ac:dyDescent="0.25">
      <c r="B128" s="2">
        <v>45995</v>
      </c>
      <c r="C128" s="2" t="str">
        <f>UPPER(TEXT(LANÇAMENTOS[[#This Row],[Data]],"mmm"))</f>
        <v>DEZ</v>
      </c>
      <c r="D128" s="2" t="str">
        <f>UPPER(TEXT(LANÇAMENTOS[[#This Row],[Data]],"AAAA"))</f>
        <v>2025</v>
      </c>
      <c r="E128" s="1" t="s">
        <v>50</v>
      </c>
      <c r="F128" s="1" t="s">
        <v>4</v>
      </c>
      <c r="G128" s="1" t="s">
        <v>33</v>
      </c>
      <c r="H128" s="1" t="str">
        <f>LANÇAMENTOS[[#This Row],[Categoria]]&amp;"-"&amp;LANÇAMENTOS[[#This Row],[Descrição]]</f>
        <v>ALIMENTAÇÃO-NUTRICAR</v>
      </c>
      <c r="I128" s="1" t="str">
        <f>VLOOKUP(LANÇAMENTOS[[#This Row],[Coluna1]],[1]Planilha2!$K$2:$O$130,4,0)</f>
        <v>Alimentação</v>
      </c>
      <c r="J128" s="1" t="str">
        <f>VLOOKUP(LANÇAMENTOS[[#This Row],[Coluna1]],[1]Planilha2!$K$2:$O$130,5,0)</f>
        <v>Mercadinho</v>
      </c>
      <c r="L128" s="14">
        <v>28.98</v>
      </c>
      <c r="N128" s="1">
        <f>IF(ISNUMBER(LANÇAMENTOS[[#This Row],[Receita]]),LANÇAMENTOS[[#This Row],[Receita]],LANÇAMENTOS[[#This Row],[Transferência]])</f>
        <v>28.98</v>
      </c>
      <c r="R128" s="1" t="str">
        <v>CASA BATIDA</v>
      </c>
      <c r="S128" s="1" t="str">
        <v>Despesa</v>
      </c>
      <c r="T128" s="1" t="str">
        <v>LAZER</v>
      </c>
    </row>
    <row r="129" spans="2:20" x14ac:dyDescent="0.25">
      <c r="B129" s="2">
        <v>45996</v>
      </c>
      <c r="C129" s="2" t="str">
        <f>UPPER(TEXT(LANÇAMENTOS[[#This Row],[Data]],"mmm"))</f>
        <v>DEZ</v>
      </c>
      <c r="D129" s="2" t="str">
        <f>UPPER(TEXT(LANÇAMENTOS[[#This Row],[Data]],"AAAA"))</f>
        <v>2025</v>
      </c>
      <c r="E129" s="1" t="s">
        <v>112</v>
      </c>
      <c r="F129" s="1" t="s">
        <v>4</v>
      </c>
      <c r="G129" s="1" t="s">
        <v>111</v>
      </c>
      <c r="H129" s="1" t="str">
        <f>LANÇAMENTOS[[#This Row],[Categoria]]&amp;"-"&amp;LANÇAMENTOS[[#This Row],[Descrição]]</f>
        <v>PRESENTE-INSIDER - ISA</v>
      </c>
      <c r="I129" s="1" t="str">
        <f>VLOOKUP(LANÇAMENTOS[[#This Row],[Coluna1]],[1]Planilha2!$K$2:$O$130,4,0)</f>
        <v>Lazer</v>
      </c>
      <c r="J129" s="1" t="str">
        <f>VLOOKUP(LANÇAMENTOS[[#This Row],[Coluna1]],[1]Planilha2!$K$2:$O$130,5,0)</f>
        <v>Acessórios Diversos</v>
      </c>
      <c r="L129" s="14">
        <v>126.89</v>
      </c>
      <c r="N129" s="1">
        <f>IF(ISNUMBER(LANÇAMENTOS[[#This Row],[Receita]]),LANÇAMENTOS[[#This Row],[Receita]],LANÇAMENTOS[[#This Row],[Transferência]])</f>
        <v>126.89</v>
      </c>
      <c r="R129" s="1" t="str">
        <v>carnaval - bebida</v>
      </c>
      <c r="S129" s="1" t="str">
        <v>Despesa</v>
      </c>
      <c r="T129" s="1" t="str">
        <v>LAZER</v>
      </c>
    </row>
    <row r="130" spans="2:20" x14ac:dyDescent="0.25">
      <c r="B130" s="2">
        <v>45997</v>
      </c>
      <c r="C130" s="2" t="str">
        <f>UPPER(TEXT(LANÇAMENTOS[[#This Row],[Data]],"mmm"))</f>
        <v>DEZ</v>
      </c>
      <c r="D130" s="2" t="str">
        <f>UPPER(TEXT(LANÇAMENTOS[[#This Row],[Data]],"AAAA"))</f>
        <v>2025</v>
      </c>
      <c r="E130" s="1" t="s">
        <v>48</v>
      </c>
      <c r="F130" s="1" t="s">
        <v>4</v>
      </c>
      <c r="G130" s="1" t="s">
        <v>35</v>
      </c>
      <c r="H130" s="1" t="str">
        <f>LANÇAMENTOS[[#This Row],[Categoria]]&amp;"-"&amp;LANÇAMENTOS[[#This Row],[Descrição]]</f>
        <v>TRANSPORTE-UBER</v>
      </c>
      <c r="I130" s="1" t="str">
        <f>VLOOKUP(LANÇAMENTOS[[#This Row],[Coluna1]],[1]Planilha2!$K$2:$O$130,4,0)</f>
        <v>Transporte</v>
      </c>
      <c r="J130" s="1" t="str">
        <f>VLOOKUP(LANÇAMENTOS[[#This Row],[Coluna1]],[1]Planilha2!$K$2:$O$130,5,0)</f>
        <v>Uber/táxi</v>
      </c>
      <c r="L130" s="14">
        <v>26.51</v>
      </c>
      <c r="N130" s="1">
        <f>IF(ISNUMBER(LANÇAMENTOS[[#This Row],[Receita]]),LANÇAMENTOS[[#This Row],[Receita]],LANÇAMENTOS[[#This Row],[Transferência]])</f>
        <v>26.51</v>
      </c>
      <c r="R130" s="1" t="str">
        <v>formatura leh</v>
      </c>
      <c r="S130" s="1" t="str">
        <v>Despesa</v>
      </c>
      <c r="T130" s="1" t="str">
        <v>LAZER</v>
      </c>
    </row>
    <row r="131" spans="2:20" x14ac:dyDescent="0.25">
      <c r="B131" s="2">
        <v>45997</v>
      </c>
      <c r="C131" s="2" t="str">
        <f>UPPER(TEXT(LANÇAMENTOS[[#This Row],[Data]],"mmm"))</f>
        <v>DEZ</v>
      </c>
      <c r="D131" s="2" t="str">
        <f>UPPER(TEXT(LANÇAMENTOS[[#This Row],[Data]],"AAAA"))</f>
        <v>2025</v>
      </c>
      <c r="E131" s="1" t="s">
        <v>48</v>
      </c>
      <c r="F131" s="1" t="s">
        <v>4</v>
      </c>
      <c r="G131" s="1" t="s">
        <v>35</v>
      </c>
      <c r="H131" s="1" t="str">
        <f>LANÇAMENTOS[[#This Row],[Categoria]]&amp;"-"&amp;LANÇAMENTOS[[#This Row],[Descrição]]</f>
        <v>TRANSPORTE-UBER</v>
      </c>
      <c r="I131" s="1" t="str">
        <f>VLOOKUP(LANÇAMENTOS[[#This Row],[Coluna1]],[1]Planilha2!$K$2:$O$130,4,0)</f>
        <v>Transporte</v>
      </c>
      <c r="J131" s="1" t="str">
        <f>VLOOKUP(LANÇAMENTOS[[#This Row],[Coluna1]],[1]Planilha2!$K$2:$O$130,5,0)</f>
        <v>Uber/táxi</v>
      </c>
      <c r="L131" s="14">
        <v>112.06</v>
      </c>
      <c r="N131" s="1">
        <f>IF(ISNUMBER(LANÇAMENTOS[[#This Row],[Receita]]),LANÇAMENTOS[[#This Row],[Receita]],LANÇAMENTOS[[#This Row],[Transferência]])</f>
        <v>112.06</v>
      </c>
      <c r="R131" s="1" t="str">
        <v>IFD*MANIHI SUSHI - TAMBOR</v>
      </c>
      <c r="S131" s="1" t="str">
        <v>Despesa</v>
      </c>
      <c r="T131" s="1" t="str">
        <v>ALIMENTAÇÃO</v>
      </c>
    </row>
    <row r="132" spans="2:20" x14ac:dyDescent="0.25">
      <c r="B132" s="2">
        <v>45997</v>
      </c>
      <c r="C132" s="2" t="str">
        <f>UPPER(TEXT(LANÇAMENTOS[[#This Row],[Data]],"mmm"))</f>
        <v>DEZ</v>
      </c>
      <c r="D132" s="2" t="str">
        <f>UPPER(TEXT(LANÇAMENTOS[[#This Row],[Data]],"AAAA"))</f>
        <v>2025</v>
      </c>
      <c r="E132" s="1" t="s">
        <v>48</v>
      </c>
      <c r="F132" s="1" t="s">
        <v>4</v>
      </c>
      <c r="G132" s="1" t="s">
        <v>35</v>
      </c>
      <c r="H132" s="1" t="str">
        <f>LANÇAMENTOS[[#This Row],[Categoria]]&amp;"-"&amp;LANÇAMENTOS[[#This Row],[Descrição]]</f>
        <v>TRANSPORTE-UBER</v>
      </c>
      <c r="I132" s="1" t="str">
        <f>VLOOKUP(LANÇAMENTOS[[#This Row],[Coluna1]],[1]Planilha2!$K$2:$O$130,4,0)</f>
        <v>Transporte</v>
      </c>
      <c r="J132" s="1" t="str">
        <f>VLOOKUP(LANÇAMENTOS[[#This Row],[Coluna1]],[1]Planilha2!$K$2:$O$130,5,0)</f>
        <v>Uber/táxi</v>
      </c>
      <c r="L132" s="14">
        <v>40.950000000000003</v>
      </c>
      <c r="N132" s="1">
        <f>IF(ISNUMBER(LANÇAMENTOS[[#This Row],[Receita]]),LANÇAMENTOS[[#This Row],[Receita]],LANÇAMENTOS[[#This Row],[Transferência]])</f>
        <v>40.950000000000003</v>
      </c>
      <c r="R132" s="1" t="str">
        <v>pix role</v>
      </c>
      <c r="S132" s="1" t="str">
        <v>Receita</v>
      </c>
      <c r="T132" s="1" t="str">
        <v>LAZER</v>
      </c>
    </row>
    <row r="133" spans="2:20" x14ac:dyDescent="0.25">
      <c r="B133" s="2">
        <v>45997</v>
      </c>
      <c r="C133" s="2" t="str">
        <f>UPPER(TEXT(LANÇAMENTOS[[#This Row],[Data]],"mmm"))</f>
        <v>DEZ</v>
      </c>
      <c r="D133" s="2" t="str">
        <f>UPPER(TEXT(LANÇAMENTOS[[#This Row],[Data]],"AAAA"))</f>
        <v>2025</v>
      </c>
      <c r="E133" s="1" t="s">
        <v>69</v>
      </c>
      <c r="F133" s="1" t="s">
        <v>4</v>
      </c>
      <c r="G133" s="1" t="s">
        <v>33</v>
      </c>
      <c r="H133" s="1" t="str">
        <f>LANÇAMENTOS[[#This Row],[Categoria]]&amp;"-"&amp;LANÇAMENTOS[[#This Row],[Descrição]]</f>
        <v>ALIMENTAÇÃO-mercado</v>
      </c>
      <c r="I133" s="1" t="str">
        <f>VLOOKUP(LANÇAMENTOS[[#This Row],[Coluna1]],[1]Planilha2!$K$2:$O$130,4,0)</f>
        <v>Alimentação</v>
      </c>
      <c r="J133" s="1" t="str">
        <f>VLOOKUP(LANÇAMENTOS[[#This Row],[Coluna1]],[1]Planilha2!$K$2:$O$130,5,0)</f>
        <v>Mercado</v>
      </c>
      <c r="L133" s="14">
        <v>322.32</v>
      </c>
      <c r="N133" s="1">
        <f>IF(ISNUMBER(LANÇAMENTOS[[#This Row],[Receita]]),LANÇAMENTOS[[#This Row],[Receita]],LANÇAMENTOS[[#This Row],[Transferência]])</f>
        <v>322.32</v>
      </c>
      <c r="R133" s="1" t="str">
        <v>Cervegames</v>
      </c>
      <c r="S133" s="1" t="str">
        <v>Receita</v>
      </c>
      <c r="T133" s="1" t="str">
        <v>LAZER</v>
      </c>
    </row>
    <row r="134" spans="2:20" x14ac:dyDescent="0.25">
      <c r="B134" s="2">
        <v>45997</v>
      </c>
      <c r="C134" s="2" t="str">
        <f>UPPER(TEXT(LANÇAMENTOS[[#This Row],[Data]],"mmm"))</f>
        <v>DEZ</v>
      </c>
      <c r="D134" s="2" t="str">
        <f>UPPER(TEXT(LANÇAMENTOS[[#This Row],[Data]],"AAAA"))</f>
        <v>2025</v>
      </c>
      <c r="E134" s="1" t="s">
        <v>113</v>
      </c>
      <c r="F134" s="1" t="s">
        <v>4</v>
      </c>
      <c r="G134" s="1" t="s">
        <v>27</v>
      </c>
      <c r="H134" s="1" t="str">
        <f>LANÇAMENTOS[[#This Row],[Categoria]]&amp;"-"&amp;LANÇAMENTOS[[#This Row],[Descrição]]</f>
        <v>LAZER-HEAVY HOUSE</v>
      </c>
      <c r="I134" s="1" t="str">
        <f>VLOOKUP(LANÇAMENTOS[[#This Row],[Coluna1]],[1]Planilha2!$K$2:$O$130,4,0)</f>
        <v>Lazer</v>
      </c>
      <c r="J134" s="1" t="str">
        <f>VLOOKUP(LANÇAMENTOS[[#This Row],[Coluna1]],[1]Planilha2!$K$2:$O$130,5,0)</f>
        <v>Balada</v>
      </c>
      <c r="L134" s="14">
        <v>45.2</v>
      </c>
      <c r="N134" s="1">
        <f>IF(ISNUMBER(LANÇAMENTOS[[#This Row],[Receita]]),LANÇAMENTOS[[#This Row],[Receita]],LANÇAMENTOS[[#This Row],[Transferência]])</f>
        <v>45.2</v>
      </c>
      <c r="R134" s="1" t="str">
        <v>chopeira</v>
      </c>
      <c r="S134" s="1" t="str">
        <v>Despesa</v>
      </c>
      <c r="T134" s="1" t="str">
        <v>LAZER</v>
      </c>
    </row>
    <row r="135" spans="2:20" x14ac:dyDescent="0.25">
      <c r="B135" s="2">
        <v>45998</v>
      </c>
      <c r="C135" s="2" t="str">
        <f>UPPER(TEXT(LANÇAMENTOS[[#This Row],[Data]],"mmm"))</f>
        <v>DEZ</v>
      </c>
      <c r="D135" s="2" t="str">
        <f>UPPER(TEXT(LANÇAMENTOS[[#This Row],[Data]],"AAAA"))</f>
        <v>2025</v>
      </c>
      <c r="E135" s="1" t="s">
        <v>34</v>
      </c>
      <c r="F135" s="1" t="s">
        <v>4</v>
      </c>
      <c r="G135" s="1" t="s">
        <v>35</v>
      </c>
      <c r="H135" s="1" t="str">
        <f>LANÇAMENTOS[[#This Row],[Categoria]]&amp;"-"&amp;LANÇAMENTOS[[#This Row],[Descrição]]</f>
        <v>TRANSPORTE-uber</v>
      </c>
      <c r="I135" s="1" t="str">
        <f>VLOOKUP(LANÇAMENTOS[[#This Row],[Coluna1]],[1]Planilha2!$K$2:$O$130,4,0)</f>
        <v>Transporte</v>
      </c>
      <c r="J135" s="1" t="str">
        <f>VLOOKUP(LANÇAMENTOS[[#This Row],[Coluna1]],[1]Planilha2!$K$2:$O$130,5,0)</f>
        <v>Uber/táxi</v>
      </c>
      <c r="L135" s="14">
        <v>46.07</v>
      </c>
      <c r="N135" s="1">
        <f>IF(ISNUMBER(LANÇAMENTOS[[#This Row],[Receita]]),LANÇAMENTOS[[#This Row],[Receita]],LANÇAMENTOS[[#This Row],[Transferência]])</f>
        <v>46.07</v>
      </c>
      <c r="R135" s="1" t="str">
        <v>sanduiche de metro</v>
      </c>
      <c r="S135" s="1" t="str">
        <v>Despesa</v>
      </c>
      <c r="T135" s="1" t="str">
        <v>LAZER</v>
      </c>
    </row>
    <row r="136" spans="2:20" x14ac:dyDescent="0.25">
      <c r="B136" s="2">
        <v>45998</v>
      </c>
      <c r="C136" s="2" t="str">
        <f>UPPER(TEXT(LANÇAMENTOS[[#This Row],[Data]],"mmm"))</f>
        <v>DEZ</v>
      </c>
      <c r="D136" s="2" t="str">
        <f>UPPER(TEXT(LANÇAMENTOS[[#This Row],[Data]],"AAAA"))</f>
        <v>2025</v>
      </c>
      <c r="E136" s="1" t="s">
        <v>61</v>
      </c>
      <c r="F136" s="1" t="s">
        <v>4</v>
      </c>
      <c r="G136" s="1" t="s">
        <v>33</v>
      </c>
      <c r="H136" s="1" t="str">
        <f>LANÇAMENTOS[[#This Row],[Categoria]]&amp;"-"&amp;LANÇAMENTOS[[#This Row],[Descrição]]</f>
        <v>ALIMENTAÇÃO-ifood</v>
      </c>
      <c r="I136" s="1" t="str">
        <f>VLOOKUP(LANÇAMENTOS[[#This Row],[Coluna1]],[1]Planilha2!$K$2:$O$130,4,0)</f>
        <v>Alimentação</v>
      </c>
      <c r="J136" s="1" t="str">
        <f>VLOOKUP(LANÇAMENTOS[[#This Row],[Coluna1]],[1]Planilha2!$K$2:$O$130,5,0)</f>
        <v>Delivery</v>
      </c>
      <c r="L136" s="14">
        <v>169.28</v>
      </c>
      <c r="N136" s="1">
        <f>IF(ISNUMBER(LANÇAMENTOS[[#This Row],[Receita]]),LANÇAMENTOS[[#This Row],[Receita]],LANÇAMENTOS[[#This Row],[Transferência]])</f>
        <v>169.28</v>
      </c>
    </row>
    <row r="137" spans="2:20" x14ac:dyDescent="0.25">
      <c r="B137" s="2">
        <v>45999</v>
      </c>
      <c r="C137" s="2" t="str">
        <f>UPPER(TEXT(LANÇAMENTOS[[#This Row],[Data]],"mmm"))</f>
        <v>DEZ</v>
      </c>
      <c r="D137" s="2" t="str">
        <f>UPPER(TEXT(LANÇAMENTOS[[#This Row],[Data]],"AAAA"))</f>
        <v>2025</v>
      </c>
      <c r="E137" s="1" t="s">
        <v>63</v>
      </c>
      <c r="F137" s="1" t="s">
        <v>5</v>
      </c>
      <c r="G137" s="1" t="s">
        <v>28</v>
      </c>
      <c r="H137" s="1" t="str">
        <f>LANÇAMENTOS[[#This Row],[Categoria]]&amp;"-"&amp;LANÇAMENTOS[[#This Row],[Descrição]]</f>
        <v>PIX ROLE-pix</v>
      </c>
      <c r="I137" s="1" t="str">
        <f>VLOOKUP(LANÇAMENTOS[[#This Row],[Coluna1]],[1]Planilha2!$K$2:$O$130,4,0)</f>
        <v>Lazer</v>
      </c>
      <c r="J137" s="1" t="str">
        <f>VLOOKUP(LANÇAMENTOS[[#This Row],[Coluna1]],[1]Planilha2!$K$2:$O$130,5,0)</f>
        <v>Role</v>
      </c>
      <c r="K137" s="14">
        <v>80.58</v>
      </c>
      <c r="N137" s="1">
        <f>IF(ISNUMBER(LANÇAMENTOS[[#This Row],[Receita]]),LANÇAMENTOS[[#This Row],[Receita]],LANÇAMENTOS[[#This Row],[Transferência]])</f>
        <v>80.58</v>
      </c>
    </row>
    <row r="138" spans="2:20" x14ac:dyDescent="0.25">
      <c r="B138" s="2">
        <v>46000</v>
      </c>
      <c r="C138" s="2" t="str">
        <f>UPPER(TEXT(LANÇAMENTOS[[#This Row],[Data]],"mmm"))</f>
        <v>DEZ</v>
      </c>
      <c r="D138" s="2" t="str">
        <f>UPPER(TEXT(LANÇAMENTOS[[#This Row],[Data]],"AAAA"))</f>
        <v>2025</v>
      </c>
      <c r="E138" s="1" t="s">
        <v>61</v>
      </c>
      <c r="F138" s="1" t="s">
        <v>4</v>
      </c>
      <c r="G138" s="1" t="s">
        <v>33</v>
      </c>
      <c r="H138" s="1" t="str">
        <f>LANÇAMENTOS[[#This Row],[Categoria]]&amp;"-"&amp;LANÇAMENTOS[[#This Row],[Descrição]]</f>
        <v>ALIMENTAÇÃO-ifood</v>
      </c>
      <c r="I138" s="1" t="str">
        <f>VLOOKUP(LANÇAMENTOS[[#This Row],[Coluna1]],[1]Planilha2!$K$2:$O$130,4,0)</f>
        <v>Alimentação</v>
      </c>
      <c r="J138" s="1" t="str">
        <f>VLOOKUP(LANÇAMENTOS[[#This Row],[Coluna1]],[1]Planilha2!$K$2:$O$130,5,0)</f>
        <v>Delivery</v>
      </c>
      <c r="L138" s="14">
        <v>57.89</v>
      </c>
      <c r="N138" s="1">
        <f>IF(ISNUMBER(LANÇAMENTOS[[#This Row],[Receita]]),LANÇAMENTOS[[#This Row],[Receita]],LANÇAMENTOS[[#This Row],[Transferência]])</f>
        <v>57.89</v>
      </c>
    </row>
    <row r="139" spans="2:20" x14ac:dyDescent="0.25">
      <c r="B139" s="2">
        <v>46001</v>
      </c>
      <c r="C139" s="2" t="str">
        <f>UPPER(TEXT(LANÇAMENTOS[[#This Row],[Data]],"mmm"))</f>
        <v>DEZ</v>
      </c>
      <c r="D139" s="2" t="str">
        <f>UPPER(TEXT(LANÇAMENTOS[[#This Row],[Data]],"AAAA"))</f>
        <v>2025</v>
      </c>
      <c r="E139" s="1" t="s">
        <v>55</v>
      </c>
      <c r="F139" s="1" t="s">
        <v>4</v>
      </c>
      <c r="G139" s="1" t="s">
        <v>56</v>
      </c>
      <c r="H139" s="1" t="str">
        <f>LANÇAMENTOS[[#This Row],[Categoria]]&amp;"-"&amp;LANÇAMENTOS[[#This Row],[Descrição]]</f>
        <v>APARTAMENTO-Apartamento</v>
      </c>
      <c r="I139" s="1" t="str">
        <f>VLOOKUP(LANÇAMENTOS[[#This Row],[Coluna1]],[1]Planilha2!$K$2:$O$130,4,0)</f>
        <v>Moradia</v>
      </c>
      <c r="J139" s="1" t="str">
        <f>VLOOKUP(LANÇAMENTOS[[#This Row],[Coluna1]],[1]Planilha2!$K$2:$O$130,5,0)</f>
        <v>Parcela apto</v>
      </c>
      <c r="L139" s="14">
        <v>1613.74</v>
      </c>
      <c r="N139" s="1">
        <f>IF(ISNUMBER(LANÇAMENTOS[[#This Row],[Receita]]),LANÇAMENTOS[[#This Row],[Receita]],LANÇAMENTOS[[#This Row],[Transferência]])</f>
        <v>1613.74</v>
      </c>
    </row>
    <row r="140" spans="2:20" x14ac:dyDescent="0.25">
      <c r="B140" s="2">
        <v>46003</v>
      </c>
      <c r="C140" s="2" t="str">
        <f>UPPER(TEXT(LANÇAMENTOS[[#This Row],[Data]],"mmm"))</f>
        <v>DEZ</v>
      </c>
      <c r="D140" s="2" t="str">
        <f>UPPER(TEXT(LANÇAMENTOS[[#This Row],[Data]],"AAAA"))</f>
        <v>2025</v>
      </c>
      <c r="E140" s="1" t="s">
        <v>69</v>
      </c>
      <c r="F140" s="1" t="s">
        <v>4</v>
      </c>
      <c r="G140" s="1" t="s">
        <v>33</v>
      </c>
      <c r="H140" s="1" t="str">
        <f>LANÇAMENTOS[[#This Row],[Categoria]]&amp;"-"&amp;LANÇAMENTOS[[#This Row],[Descrição]]</f>
        <v>ALIMENTAÇÃO-mercado</v>
      </c>
      <c r="I140" s="1" t="str">
        <f>VLOOKUP(LANÇAMENTOS[[#This Row],[Coluna1]],[1]Planilha2!$K$2:$O$130,4,0)</f>
        <v>Alimentação</v>
      </c>
      <c r="J140" s="1" t="str">
        <f>VLOOKUP(LANÇAMENTOS[[#This Row],[Coluna1]],[1]Planilha2!$K$2:$O$130,5,0)</f>
        <v>Mercado</v>
      </c>
      <c r="L140" s="14">
        <v>53.39</v>
      </c>
      <c r="N140" s="1">
        <f>IF(ISNUMBER(LANÇAMENTOS[[#This Row],[Receita]]),LANÇAMENTOS[[#This Row],[Receita]],LANÇAMENTOS[[#This Row],[Transferência]])</f>
        <v>53.39</v>
      </c>
    </row>
    <row r="141" spans="2:20" x14ac:dyDescent="0.25">
      <c r="B141" s="2">
        <v>46003</v>
      </c>
      <c r="C141" s="2" t="str">
        <f>UPPER(TEXT(LANÇAMENTOS[[#This Row],[Data]],"mmm"))</f>
        <v>DEZ</v>
      </c>
      <c r="D141" s="2" t="str">
        <f>UPPER(TEXT(LANÇAMENTOS[[#This Row],[Data]],"AAAA"))</f>
        <v>2025</v>
      </c>
      <c r="E141" s="1" t="s">
        <v>114</v>
      </c>
      <c r="F141" s="1" t="s">
        <v>4</v>
      </c>
      <c r="G141" s="1" t="s">
        <v>27</v>
      </c>
      <c r="H141" s="1" t="str">
        <f>LANÇAMENTOS[[#This Row],[Categoria]]&amp;"-"&amp;LANÇAMENTOS[[#This Row],[Descrição]]</f>
        <v>LAZER-bar do velho</v>
      </c>
      <c r="I141" s="1" t="str">
        <f>VLOOKUP(LANÇAMENTOS[[#This Row],[Coluna1]],[1]Planilha2!$K$2:$O$130,4,0)</f>
        <v>Lazer</v>
      </c>
      <c r="J141" s="1" t="str">
        <f>VLOOKUP(LANÇAMENTOS[[#This Row],[Coluna1]],[1]Planilha2!$K$2:$O$130,5,0)</f>
        <v>Bar</v>
      </c>
      <c r="L141" s="14">
        <v>32.83</v>
      </c>
      <c r="N141" s="1">
        <f>IF(ISNUMBER(LANÇAMENTOS[[#This Row],[Receita]]),LANÇAMENTOS[[#This Row],[Receita]],LANÇAMENTOS[[#This Row],[Transferência]])</f>
        <v>32.83</v>
      </c>
    </row>
    <row r="142" spans="2:20" x14ac:dyDescent="0.25">
      <c r="B142" s="2">
        <v>46005</v>
      </c>
      <c r="C142" s="2" t="str">
        <f>UPPER(TEXT(LANÇAMENTOS[[#This Row],[Data]],"mmm"))</f>
        <v>DEZ</v>
      </c>
      <c r="D142" s="2" t="str">
        <f>UPPER(TEXT(LANÇAMENTOS[[#This Row],[Data]],"AAAA"))</f>
        <v>2025</v>
      </c>
      <c r="E142" s="1" t="s">
        <v>53</v>
      </c>
      <c r="F142" s="1" t="s">
        <v>4</v>
      </c>
      <c r="G142" s="1" t="s">
        <v>46</v>
      </c>
      <c r="H142" s="1" t="str">
        <f>LANÇAMENTOS[[#This Row],[Categoria]]&amp;"-"&amp;LANÇAMENTOS[[#This Row],[Descrição]]</f>
        <v>CUIDADOS PESSOAIS-farmacia</v>
      </c>
      <c r="I142" s="1" t="str">
        <f>VLOOKUP(LANÇAMENTOS[[#This Row],[Coluna1]],[1]Planilha2!$K$2:$O$130,4,0)</f>
        <v>Saúde</v>
      </c>
      <c r="J142" s="1" t="str">
        <f>VLOOKUP(LANÇAMENTOS[[#This Row],[Coluna1]],[1]Planilha2!$K$2:$O$130,5,0)</f>
        <v>Farmácia</v>
      </c>
      <c r="L142" s="14">
        <v>85.89</v>
      </c>
      <c r="N142" s="1">
        <f>IF(ISNUMBER(LANÇAMENTOS[[#This Row],[Receita]]),LANÇAMENTOS[[#This Row],[Receita]],LANÇAMENTOS[[#This Row],[Transferência]])</f>
        <v>85.89</v>
      </c>
    </row>
    <row r="143" spans="2:20" x14ac:dyDescent="0.25">
      <c r="B143" s="2">
        <v>46006</v>
      </c>
      <c r="C143" s="2" t="str">
        <f>UPPER(TEXT(LANÇAMENTOS[[#This Row],[Data]],"mmm"))</f>
        <v>DEZ</v>
      </c>
      <c r="D143" s="2" t="str">
        <f>UPPER(TEXT(LANÇAMENTOS[[#This Row],[Data]],"AAAA"))</f>
        <v>2025</v>
      </c>
      <c r="E143" s="1" t="s">
        <v>85</v>
      </c>
      <c r="F143" s="1" t="s">
        <v>4</v>
      </c>
      <c r="G143" s="1" t="s">
        <v>27</v>
      </c>
      <c r="H143" s="1" t="str">
        <f>LANÇAMENTOS[[#This Row],[Categoria]]&amp;"-"&amp;LANÇAMENTOS[[#This Row],[Descrição]]</f>
        <v>LAZER-blacktag</v>
      </c>
      <c r="I143" s="1" t="str">
        <f>VLOOKUP(LANÇAMENTOS[[#This Row],[Coluna1]],[1]Planilha2!$K$2:$O$130,4,0)</f>
        <v>Lazer</v>
      </c>
      <c r="J143" s="1" t="str">
        <f>VLOOKUP(LANÇAMENTOS[[#This Row],[Coluna1]],[1]Planilha2!$K$2:$O$130,5,0)</f>
        <v>Role</v>
      </c>
      <c r="L143" s="14">
        <v>159.63</v>
      </c>
      <c r="N143" s="1">
        <f>IF(ISNUMBER(LANÇAMENTOS[[#This Row],[Receita]]),LANÇAMENTOS[[#This Row],[Receita]],LANÇAMENTOS[[#This Row],[Transferência]])</f>
        <v>159.63</v>
      </c>
    </row>
    <row r="144" spans="2:20" x14ac:dyDescent="0.25">
      <c r="B144" s="2">
        <v>46006</v>
      </c>
      <c r="C144" s="2" t="str">
        <f>UPPER(TEXT(LANÇAMENTOS[[#This Row],[Data]],"mmm"))</f>
        <v>DEZ</v>
      </c>
      <c r="D144" s="2" t="str">
        <f>UPPER(TEXT(LANÇAMENTOS[[#This Row],[Data]],"AAAA"))</f>
        <v>2025</v>
      </c>
      <c r="E144" s="1" t="s">
        <v>84</v>
      </c>
      <c r="F144" s="1" t="s">
        <v>4</v>
      </c>
      <c r="G144" s="1" t="s">
        <v>46</v>
      </c>
      <c r="H144" s="1" t="str">
        <f>LANÇAMENTOS[[#This Row],[Categoria]]&amp;"-"&amp;LANÇAMENTOS[[#This Row],[Descrição]]</f>
        <v>CUIDADOS PESSOAIS-vans</v>
      </c>
      <c r="I144" s="1" t="str">
        <f>VLOOKUP(LANÇAMENTOS[[#This Row],[Coluna1]],[1]Planilha2!$K$2:$O$130,4,0)</f>
        <v>Vestuário &amp; Acessórios</v>
      </c>
      <c r="J144" s="1" t="str">
        <f>VLOOKUP(LANÇAMENTOS[[#This Row],[Coluna1]],[1]Planilha2!$K$2:$O$130,5,0)</f>
        <v>Roupas</v>
      </c>
      <c r="L144" s="14">
        <v>126.01</v>
      </c>
      <c r="N144" s="1">
        <f>IF(ISNUMBER(LANÇAMENTOS[[#This Row],[Receita]]),LANÇAMENTOS[[#This Row],[Receita]],LANÇAMENTOS[[#This Row],[Transferência]])</f>
        <v>126.01</v>
      </c>
    </row>
    <row r="145" spans="2:14" x14ac:dyDescent="0.25">
      <c r="B145" s="2">
        <v>46006</v>
      </c>
      <c r="C145" s="2" t="str">
        <f>UPPER(TEXT(LANÇAMENTOS[[#This Row],[Data]],"mmm"))</f>
        <v>DEZ</v>
      </c>
      <c r="D145" s="2" t="str">
        <f>UPPER(TEXT(LANÇAMENTOS[[#This Row],[Data]],"AAAA"))</f>
        <v>2025</v>
      </c>
      <c r="E145" s="1" t="s">
        <v>83</v>
      </c>
      <c r="F145" s="1" t="s">
        <v>4</v>
      </c>
      <c r="G145" s="1" t="s">
        <v>46</v>
      </c>
      <c r="H145" s="1" t="str">
        <f>LANÇAMENTOS[[#This Row],[Categoria]]&amp;"-"&amp;LANÇAMENTOS[[#This Row],[Descrição]]</f>
        <v>CUIDADOS PESSOAIS-aramis</v>
      </c>
      <c r="I145" s="1" t="str">
        <f>VLOOKUP(LANÇAMENTOS[[#This Row],[Coluna1]],[1]Planilha2!$K$2:$O$130,4,0)</f>
        <v>Vestuário &amp; Acessórios</v>
      </c>
      <c r="J145" s="1" t="str">
        <f>VLOOKUP(LANÇAMENTOS[[#This Row],[Coluna1]],[1]Planilha2!$K$2:$O$130,5,0)</f>
        <v>Roupas</v>
      </c>
      <c r="L145" s="14">
        <v>296.58</v>
      </c>
      <c r="N145" s="1">
        <f>IF(ISNUMBER(LANÇAMENTOS[[#This Row],[Receita]]),LANÇAMENTOS[[#This Row],[Receita]],LANÇAMENTOS[[#This Row],[Transferência]])</f>
        <v>296.58</v>
      </c>
    </row>
    <row r="146" spans="2:14" x14ac:dyDescent="0.25">
      <c r="B146" s="2">
        <v>46006</v>
      </c>
      <c r="C146" s="2" t="str">
        <f>UPPER(TEXT(LANÇAMENTOS[[#This Row],[Data]],"mmm"))</f>
        <v>DEZ</v>
      </c>
      <c r="D146" s="2" t="str">
        <f>UPPER(TEXT(LANÇAMENTOS[[#This Row],[Data]],"AAAA"))</f>
        <v>2025</v>
      </c>
      <c r="E146" s="1" t="s">
        <v>116</v>
      </c>
      <c r="F146" s="1" t="s">
        <v>20</v>
      </c>
      <c r="G146" s="1" t="s">
        <v>59</v>
      </c>
      <c r="H146" s="1" t="str">
        <f>LANÇAMENTOS[[#This Row],[Categoria]]&amp;"-"&amp;LANÇAMENTOS[[#This Row],[Descrição]]</f>
        <v>INVESTIMENTO-WRLD11</v>
      </c>
      <c r="I146" s="1" t="str">
        <f>VLOOKUP(LANÇAMENTOS[[#This Row],[Coluna1]],[1]Planilha2!$K$2:$O$130,4,0)</f>
        <v>Investimentos</v>
      </c>
      <c r="J146" s="1" t="str">
        <f>VLOOKUP(LANÇAMENTOS[[#This Row],[Coluna1]],[1]Planilha2!$K$2:$O$130,5,0)</f>
        <v>Renda variável</v>
      </c>
      <c r="L146" s="14">
        <v>2060.86</v>
      </c>
      <c r="N146" s="1">
        <f>IF(ISNUMBER(LANÇAMENTOS[[#This Row],[Receita]]),LANÇAMENTOS[[#This Row],[Receita]],LANÇAMENTOS[[#This Row],[Transferência]])</f>
        <v>2060.86</v>
      </c>
    </row>
    <row r="147" spans="2:14" x14ac:dyDescent="0.25">
      <c r="B147" s="2">
        <v>46006</v>
      </c>
      <c r="C147" s="2" t="str">
        <f>UPPER(TEXT(LANÇAMENTOS[[#This Row],[Data]],"mmm"))</f>
        <v>DEZ</v>
      </c>
      <c r="D147" s="2" t="str">
        <f>UPPER(TEXT(LANÇAMENTOS[[#This Row],[Data]],"AAAA"))</f>
        <v>2025</v>
      </c>
      <c r="E147" s="1" t="s">
        <v>119</v>
      </c>
      <c r="F147" s="1" t="s">
        <v>20</v>
      </c>
      <c r="G147" s="1" t="s">
        <v>59</v>
      </c>
      <c r="H147" s="1" t="str">
        <f>LANÇAMENTOS[[#This Row],[Categoria]]&amp;"-"&amp;LANÇAMENTOS[[#This Row],[Descrição]]</f>
        <v>INVESTIMENTO-dividendos investimento</v>
      </c>
      <c r="I147" s="1" t="str">
        <f>VLOOKUP(LANÇAMENTOS[[#This Row],[Coluna1]],[1]Planilha2!$K$2:$O$130,4,0)</f>
        <v>Investimentos</v>
      </c>
      <c r="J147" s="1" t="str">
        <f>VLOOKUP(LANÇAMENTOS[[#This Row],[Coluna1]],[1]Planilha2!$K$2:$O$130,5,0)</f>
        <v>Rendimentos/Dividendos</v>
      </c>
      <c r="K147" s="14">
        <v>10.029999999999999</v>
      </c>
      <c r="N147" s="1">
        <f>IF(ISNUMBER(LANÇAMENTOS[[#This Row],[Receita]]),LANÇAMENTOS[[#This Row],[Receita]],LANÇAMENTOS[[#This Row],[Transferência]])</f>
        <v>10.029999999999999</v>
      </c>
    </row>
    <row r="148" spans="2:14" x14ac:dyDescent="0.25">
      <c r="B148" s="2">
        <v>46008</v>
      </c>
      <c r="C148" s="2" t="str">
        <f>UPPER(TEXT(LANÇAMENTOS[[#This Row],[Data]],"mmm"))</f>
        <v>DEZ</v>
      </c>
      <c r="D148" s="2" t="str">
        <f>UPPER(TEXT(LANÇAMENTOS[[#This Row],[Data]],"AAAA"))</f>
        <v>2025</v>
      </c>
      <c r="E148" s="1" t="s">
        <v>73</v>
      </c>
      <c r="F148" s="1" t="s">
        <v>4</v>
      </c>
      <c r="G148" s="1" t="s">
        <v>33</v>
      </c>
      <c r="H148" s="1" t="str">
        <f>LANÇAMENTOS[[#This Row],[Categoria]]&amp;"-"&amp;LANÇAMENTOS[[#This Row],[Descrição]]</f>
        <v>ALIMENTAÇÃO-nutricar</v>
      </c>
      <c r="I148" s="1" t="str">
        <f>VLOOKUP(LANÇAMENTOS[[#This Row],[Coluna1]],[1]Planilha2!$K$2:$O$130,4,0)</f>
        <v>Alimentação</v>
      </c>
      <c r="J148" s="1" t="str">
        <f>VLOOKUP(LANÇAMENTOS[[#This Row],[Coluna1]],[1]Planilha2!$K$2:$O$130,5,0)</f>
        <v>Mercadinho</v>
      </c>
      <c r="L148" s="14">
        <v>6</v>
      </c>
      <c r="N148" s="1">
        <f>IF(ISNUMBER(LANÇAMENTOS[[#This Row],[Receita]]),LANÇAMENTOS[[#This Row],[Receita]],LANÇAMENTOS[[#This Row],[Transferência]])</f>
        <v>6</v>
      </c>
    </row>
    <row r="149" spans="2:14" x14ac:dyDescent="0.25">
      <c r="B149" s="2">
        <v>46009</v>
      </c>
      <c r="C149" s="2" t="str">
        <f>UPPER(TEXT(LANÇAMENTOS[[#This Row],[Data]],"mmm"))</f>
        <v>DEZ</v>
      </c>
      <c r="D149" s="2" t="str">
        <f>UPPER(TEXT(LANÇAMENTOS[[#This Row],[Data]],"AAAA"))</f>
        <v>2025</v>
      </c>
      <c r="E149" s="1" t="s">
        <v>124</v>
      </c>
      <c r="F149" s="1" t="s">
        <v>4</v>
      </c>
      <c r="G149" s="1" t="s">
        <v>33</v>
      </c>
      <c r="H149" s="1" t="str">
        <f>LANÇAMENTOS[[#This Row],[Categoria]]&amp;"-"&amp;LANÇAMENTOS[[#This Row],[Descrição]]</f>
        <v>ALIMENTAÇÃO-mc donalds</v>
      </c>
      <c r="I149" s="1" t="str">
        <f>VLOOKUP(LANÇAMENTOS[[#This Row],[Coluna1]],[1]Planilha2!$K$2:$O$130,4,0)</f>
        <v>Alimentação</v>
      </c>
      <c r="J149" s="1" t="str">
        <f>VLOOKUP(LANÇAMENTOS[[#This Row],[Coluna1]],[1]Planilha2!$K$2:$O$130,5,0)</f>
        <v>Restaurante</v>
      </c>
      <c r="L149" s="14">
        <v>37.9</v>
      </c>
      <c r="N149" s="1">
        <f>IF(ISNUMBER(LANÇAMENTOS[[#This Row],[Receita]]),LANÇAMENTOS[[#This Row],[Receita]],LANÇAMENTOS[[#This Row],[Transferência]])</f>
        <v>37.9</v>
      </c>
    </row>
    <row r="150" spans="2:14" x14ac:dyDescent="0.25">
      <c r="B150" s="2">
        <v>46009</v>
      </c>
      <c r="C150" s="2" t="str">
        <f>UPPER(TEXT(LANÇAMENTOS[[#This Row],[Data]],"mmm"))</f>
        <v>DEZ</v>
      </c>
      <c r="D150" s="2" t="str">
        <f>UPPER(TEXT(LANÇAMENTOS[[#This Row],[Data]],"AAAA"))</f>
        <v>2025</v>
      </c>
      <c r="E150" s="1" t="s">
        <v>30</v>
      </c>
      <c r="F150" s="1" t="s">
        <v>4</v>
      </c>
      <c r="G150" s="1" t="s">
        <v>31</v>
      </c>
      <c r="H150" s="1" t="str">
        <f>LANÇAMENTOS[[#This Row],[Categoria]]&amp;"-"&amp;LANÇAMENTOS[[#This Row],[Descrição]]</f>
        <v>CARTÃO-seguro cartão</v>
      </c>
      <c r="I150" s="1" t="str">
        <f>VLOOKUP(LANÇAMENTOS[[#This Row],[Coluna1]],[1]Planilha2!$K$2:$O$130,4,0)</f>
        <v>Cartão</v>
      </c>
      <c r="J150" s="1" t="str">
        <f>VLOOKUP(LANÇAMENTOS[[#This Row],[Coluna1]],[1]Planilha2!$K$2:$O$130,5,0)</f>
        <v>Seguro</v>
      </c>
      <c r="L150" s="14">
        <v>9.99</v>
      </c>
      <c r="N150" s="1">
        <f>IF(ISNUMBER(LANÇAMENTOS[[#This Row],[Receita]]),LANÇAMENTOS[[#This Row],[Receita]],LANÇAMENTOS[[#This Row],[Transferência]])</f>
        <v>9.99</v>
      </c>
    </row>
    <row r="151" spans="2:14" x14ac:dyDescent="0.25">
      <c r="B151" s="2">
        <v>46009</v>
      </c>
      <c r="C151" s="2" t="str">
        <f>UPPER(TEXT(LANÇAMENTOS[[#This Row],[Data]],"mmm"))</f>
        <v>DEZ</v>
      </c>
      <c r="D151" s="2" t="str">
        <f>UPPER(TEXT(LANÇAMENTOS[[#This Row],[Data]],"AAAA"))</f>
        <v>2025</v>
      </c>
      <c r="E151" s="1" t="s">
        <v>121</v>
      </c>
      <c r="F151" s="1" t="s">
        <v>4</v>
      </c>
      <c r="G151" s="1" t="s">
        <v>111</v>
      </c>
      <c r="H151" s="1" t="str">
        <f>LANÇAMENTOS[[#This Row],[Categoria]]&amp;"-"&amp;LANÇAMENTOS[[#This Row],[Descrição]]</f>
        <v>PRESENTE-pix presente</v>
      </c>
      <c r="I151" s="1" t="str">
        <f>VLOOKUP(LANÇAMENTOS[[#This Row],[Coluna1]],[1]Planilha2!$K$2:$O$130,4,0)</f>
        <v>Lazer</v>
      </c>
      <c r="J151" s="1" t="str">
        <f>VLOOKUP(LANÇAMENTOS[[#This Row],[Coluna1]],[1]Planilha2!$K$2:$O$130,5,0)</f>
        <v>Pix</v>
      </c>
      <c r="L151" s="14">
        <v>200</v>
      </c>
      <c r="N151" s="1">
        <f>IF(ISNUMBER(LANÇAMENTOS[[#This Row],[Receita]]),LANÇAMENTOS[[#This Row],[Receita]],LANÇAMENTOS[[#This Row],[Transferência]])</f>
        <v>200</v>
      </c>
    </row>
    <row r="152" spans="2:14" x14ac:dyDescent="0.25">
      <c r="B152" s="2">
        <v>46010</v>
      </c>
      <c r="C152" s="2" t="str">
        <f>UPPER(TEXT(LANÇAMENTOS[[#This Row],[Data]],"mmm"))</f>
        <v>DEZ</v>
      </c>
      <c r="D152" s="2" t="str">
        <f>UPPER(TEXT(LANÇAMENTOS[[#This Row],[Data]],"AAAA"))</f>
        <v>2025</v>
      </c>
      <c r="E152" s="1" t="s">
        <v>122</v>
      </c>
      <c r="F152" s="1" t="s">
        <v>4</v>
      </c>
      <c r="G152" s="1" t="s">
        <v>27</v>
      </c>
      <c r="H152" s="1" t="str">
        <f>LANÇAMENTOS[[#This Row],[Categoria]]&amp;"-"&amp;LANÇAMENTOS[[#This Row],[Descrição]]</f>
        <v>LAZER-bolão</v>
      </c>
      <c r="I152" s="1" t="str">
        <f>VLOOKUP(LANÇAMENTOS[[#This Row],[Coluna1]],[1]Planilha2!$K$2:$O$130,4,0)</f>
        <v>Lazer</v>
      </c>
      <c r="J152" s="1" t="str">
        <f>VLOOKUP(LANÇAMENTOS[[#This Row],[Coluna1]],[1]Planilha2!$K$2:$O$130,5,0)</f>
        <v>Acessórios Diversos</v>
      </c>
      <c r="L152" s="14">
        <v>42</v>
      </c>
      <c r="N152" s="1">
        <f>IF(ISNUMBER(LANÇAMENTOS[[#This Row],[Receita]]),LANÇAMENTOS[[#This Row],[Receita]],LANÇAMENTOS[[#This Row],[Transferência]])</f>
        <v>42</v>
      </c>
    </row>
    <row r="153" spans="2:14" x14ac:dyDescent="0.25">
      <c r="B153" s="2">
        <v>46010</v>
      </c>
      <c r="C153" s="2" t="str">
        <f>UPPER(TEXT(LANÇAMENTOS[[#This Row],[Data]],"mmm"))</f>
        <v>DEZ</v>
      </c>
      <c r="D153" s="2" t="str">
        <f>UPPER(TEXT(LANÇAMENTOS[[#This Row],[Data]],"AAAA"))</f>
        <v>2025</v>
      </c>
      <c r="E153" s="1" t="s">
        <v>89</v>
      </c>
      <c r="F153" s="1" t="s">
        <v>5</v>
      </c>
      <c r="G153" s="1" t="s">
        <v>25</v>
      </c>
      <c r="H153" s="1" t="str">
        <f>LANÇAMENTOS[[#This Row],[Categoria]]&amp;"-"&amp;LANÇAMENTOS[[#This Row],[Descrição]]</f>
        <v>SALÁRIO-13o salario</v>
      </c>
      <c r="I153" s="1" t="str">
        <f>VLOOKUP(LANÇAMENTOS[[#This Row],[Coluna1]],[1]Planilha2!$K$2:$O$130,4,0)</f>
        <v>Profissional</v>
      </c>
      <c r="J153" s="1" t="str">
        <f>VLOOKUP(LANÇAMENTOS[[#This Row],[Coluna1]],[1]Planilha2!$K$2:$O$130,5,0)</f>
        <v>13o</v>
      </c>
      <c r="K153" s="14">
        <v>1099.02</v>
      </c>
      <c r="N153" s="1">
        <f>IF(ISNUMBER(LANÇAMENTOS[[#This Row],[Receita]]),LANÇAMENTOS[[#This Row],[Receita]],LANÇAMENTOS[[#This Row],[Transferência]])</f>
        <v>1099.02</v>
      </c>
    </row>
    <row r="154" spans="2:14" x14ac:dyDescent="0.25">
      <c r="B154" s="2">
        <v>46010</v>
      </c>
      <c r="C154" s="2" t="str">
        <f>UPPER(TEXT(LANÇAMENTOS[[#This Row],[Data]],"mmm"))</f>
        <v>DEZ</v>
      </c>
      <c r="D154" s="2" t="str">
        <f>UPPER(TEXT(LANÇAMENTOS[[#This Row],[Data]],"AAAA"))</f>
        <v>2025</v>
      </c>
      <c r="E154" s="1" t="s">
        <v>19</v>
      </c>
      <c r="F154" s="1" t="s">
        <v>20</v>
      </c>
      <c r="G154" s="1" t="s">
        <v>59</v>
      </c>
      <c r="H154" s="1" t="str">
        <f>LANÇAMENTOS[[#This Row],[Categoria]]&amp;"-"&amp;LANÇAMENTOS[[#This Row],[Descrição]]</f>
        <v>INVESTIMENTO-prev privada</v>
      </c>
      <c r="I154" s="1" t="str">
        <f>VLOOKUP(LANÇAMENTOS[[#This Row],[Coluna1]],[1]Planilha2!$K$2:$O$130,4,0)</f>
        <v>Investimentos</v>
      </c>
      <c r="J154" s="1" t="str">
        <f>VLOOKUP(LANÇAMENTOS[[#This Row],[Coluna1]],[1]Planilha2!$K$2:$O$130,5,0)</f>
        <v>Previdência Privada</v>
      </c>
      <c r="L154" s="14">
        <v>252</v>
      </c>
      <c r="N154" s="1">
        <f>IF(ISNUMBER(LANÇAMENTOS[[#This Row],[Receita]]),LANÇAMENTOS[[#This Row],[Receita]],LANÇAMENTOS[[#This Row],[Transferência]])</f>
        <v>252</v>
      </c>
    </row>
    <row r="155" spans="2:14" x14ac:dyDescent="0.25">
      <c r="B155" s="2">
        <v>46011</v>
      </c>
      <c r="C155" s="2" t="str">
        <f>UPPER(TEXT(LANÇAMENTOS[[#This Row],[Data]],"mmm"))</f>
        <v>DEZ</v>
      </c>
      <c r="D155" s="2" t="str">
        <f>UPPER(TEXT(LANÇAMENTOS[[#This Row],[Data]],"AAAA"))</f>
        <v>2025</v>
      </c>
      <c r="E155" s="1" t="s">
        <v>125</v>
      </c>
      <c r="F155" s="1" t="s">
        <v>4</v>
      </c>
      <c r="G155" s="1" t="s">
        <v>27</v>
      </c>
      <c r="H155" s="1" t="str">
        <f>LANÇAMENTOS[[#This Row],[Categoria]]&amp;"-"&amp;LANÇAMENTOS[[#This Row],[Descrição]]</f>
        <v>LAZER-barbas</v>
      </c>
      <c r="I155" s="1" t="str">
        <f>VLOOKUP(LANÇAMENTOS[[#This Row],[Coluna1]],[1]Planilha2!$K$2:$O$130,4,0)</f>
        <v>Lazer</v>
      </c>
      <c r="J155" s="1" t="str">
        <f>VLOOKUP(LANÇAMENTOS[[#This Row],[Coluna1]],[1]Planilha2!$K$2:$O$130,5,0)</f>
        <v>Bar</v>
      </c>
      <c r="L155" s="14">
        <v>200</v>
      </c>
      <c r="N155" s="1">
        <f>IF(ISNUMBER(LANÇAMENTOS[[#This Row],[Receita]]),LANÇAMENTOS[[#This Row],[Receita]],LANÇAMENTOS[[#This Row],[Transferência]])</f>
        <v>200</v>
      </c>
    </row>
    <row r="156" spans="2:14" x14ac:dyDescent="0.25">
      <c r="B156" s="2">
        <v>46012</v>
      </c>
      <c r="C156" s="2" t="str">
        <f>UPPER(TEXT(LANÇAMENTOS[[#This Row],[Data]],"mmm"))</f>
        <v>DEZ</v>
      </c>
      <c r="D156" s="2" t="str">
        <f>UPPER(TEXT(LANÇAMENTOS[[#This Row],[Data]],"AAAA"))</f>
        <v>2025</v>
      </c>
      <c r="E156" s="1" t="s">
        <v>126</v>
      </c>
      <c r="F156" s="1" t="s">
        <v>4</v>
      </c>
      <c r="G156" s="1" t="s">
        <v>27</v>
      </c>
      <c r="H156" s="1" t="str">
        <f>LANÇAMENTOS[[#This Row],[Categoria]]&amp;"-"&amp;LANÇAMENTOS[[#This Row],[Descrição]]</f>
        <v>LAZER-bar osasco podre</v>
      </c>
      <c r="I156" s="1" t="str">
        <f>VLOOKUP(LANÇAMENTOS[[#This Row],[Coluna1]],[1]Planilha2!$K$2:$O$130,4,0)</f>
        <v>Lazer</v>
      </c>
      <c r="J156" s="1" t="str">
        <f>VLOOKUP(LANÇAMENTOS[[#This Row],[Coluna1]],[1]Planilha2!$K$2:$O$130,5,0)</f>
        <v>Bar</v>
      </c>
      <c r="L156" s="14">
        <v>50</v>
      </c>
      <c r="N156" s="1">
        <f>IF(ISNUMBER(LANÇAMENTOS[[#This Row],[Receita]]),LANÇAMENTOS[[#This Row],[Receita]],LANÇAMENTOS[[#This Row],[Transferência]])</f>
        <v>50</v>
      </c>
    </row>
    <row r="157" spans="2:14" x14ac:dyDescent="0.25">
      <c r="B157" s="2">
        <v>46012</v>
      </c>
      <c r="C157" s="2" t="str">
        <f>UPPER(TEXT(LANÇAMENTOS[[#This Row],[Data]],"mmm"))</f>
        <v>DEZ</v>
      </c>
      <c r="D157" s="2" t="str">
        <f>UPPER(TEXT(LANÇAMENTOS[[#This Row],[Data]],"AAAA"))</f>
        <v>2025</v>
      </c>
      <c r="E157" s="1" t="s">
        <v>34</v>
      </c>
      <c r="F157" s="1" t="s">
        <v>4</v>
      </c>
      <c r="G157" s="1" t="s">
        <v>35</v>
      </c>
      <c r="H157" s="1" t="str">
        <f>LANÇAMENTOS[[#This Row],[Categoria]]&amp;"-"&amp;LANÇAMENTOS[[#This Row],[Descrição]]</f>
        <v>TRANSPORTE-uber</v>
      </c>
      <c r="I157" s="1" t="str">
        <f>VLOOKUP(LANÇAMENTOS[[#This Row],[Coluna1]],[1]Planilha2!$K$2:$O$130,4,0)</f>
        <v>Transporte</v>
      </c>
      <c r="J157" s="1" t="str">
        <f>VLOOKUP(LANÇAMENTOS[[#This Row],[Coluna1]],[1]Planilha2!$K$2:$O$130,5,0)</f>
        <v>Uber/táxi</v>
      </c>
      <c r="L157" s="14">
        <v>35.58</v>
      </c>
      <c r="N157" s="1">
        <f>IF(ISNUMBER(LANÇAMENTOS[[#This Row],[Receita]]),LANÇAMENTOS[[#This Row],[Receita]],LANÇAMENTOS[[#This Row],[Transferência]])</f>
        <v>35.58</v>
      </c>
    </row>
    <row r="158" spans="2:14" x14ac:dyDescent="0.25">
      <c r="B158" s="2">
        <v>46012</v>
      </c>
      <c r="C158" s="2" t="str">
        <f>UPPER(TEXT(LANÇAMENTOS[[#This Row],[Data]],"mmm"))</f>
        <v>DEZ</v>
      </c>
      <c r="D158" s="2" t="str">
        <f>UPPER(TEXT(LANÇAMENTOS[[#This Row],[Data]],"AAAA"))</f>
        <v>2025</v>
      </c>
      <c r="E158" s="1" t="s">
        <v>61</v>
      </c>
      <c r="F158" s="1" t="s">
        <v>4</v>
      </c>
      <c r="G158" s="1" t="s">
        <v>33</v>
      </c>
      <c r="H158" s="1" t="str">
        <f>LANÇAMENTOS[[#This Row],[Categoria]]&amp;"-"&amp;LANÇAMENTOS[[#This Row],[Descrição]]</f>
        <v>ALIMENTAÇÃO-ifood</v>
      </c>
      <c r="I158" s="1" t="str">
        <f>VLOOKUP(LANÇAMENTOS[[#This Row],[Coluna1]],[1]Planilha2!$K$2:$O$130,4,0)</f>
        <v>Alimentação</v>
      </c>
      <c r="J158" s="1" t="str">
        <f>VLOOKUP(LANÇAMENTOS[[#This Row],[Coluna1]],[1]Planilha2!$K$2:$O$130,5,0)</f>
        <v>Delivery</v>
      </c>
      <c r="L158" s="14">
        <v>110.51</v>
      </c>
      <c r="N158" s="1">
        <f>IF(ISNUMBER(LANÇAMENTOS[[#This Row],[Receita]]),LANÇAMENTOS[[#This Row],[Receita]],LANÇAMENTOS[[#This Row],[Transferência]])</f>
        <v>110.51</v>
      </c>
    </row>
    <row r="159" spans="2:14" x14ac:dyDescent="0.25">
      <c r="B159" s="2">
        <v>46013</v>
      </c>
      <c r="C159" s="2" t="str">
        <f>UPPER(TEXT(LANÇAMENTOS[[#This Row],[Data]],"mmm"))</f>
        <v>DEZ</v>
      </c>
      <c r="D159" s="2" t="str">
        <f>UPPER(TEXT(LANÇAMENTOS[[#This Row],[Data]],"AAAA"))</f>
        <v>2025</v>
      </c>
      <c r="E159" s="1" t="s">
        <v>73</v>
      </c>
      <c r="F159" s="1" t="s">
        <v>4</v>
      </c>
      <c r="G159" s="1" t="s">
        <v>33</v>
      </c>
      <c r="H159" s="1" t="str">
        <f>LANÇAMENTOS[[#This Row],[Categoria]]&amp;"-"&amp;LANÇAMENTOS[[#This Row],[Descrição]]</f>
        <v>ALIMENTAÇÃO-nutricar</v>
      </c>
      <c r="I159" s="1" t="str">
        <f>VLOOKUP(LANÇAMENTOS[[#This Row],[Coluna1]],[1]Planilha2!$K$2:$O$130,4,0)</f>
        <v>Alimentação</v>
      </c>
      <c r="J159" s="1" t="str">
        <f>VLOOKUP(LANÇAMENTOS[[#This Row],[Coluna1]],[1]Planilha2!$K$2:$O$130,5,0)</f>
        <v>Mercadinho</v>
      </c>
      <c r="L159" s="14">
        <v>20</v>
      </c>
      <c r="N159" s="1">
        <f>IF(ISNUMBER(LANÇAMENTOS[[#This Row],[Receita]]),LANÇAMENTOS[[#This Row],[Receita]],LANÇAMENTOS[[#This Row],[Transferência]])</f>
        <v>20</v>
      </c>
    </row>
    <row r="160" spans="2:14" x14ac:dyDescent="0.25">
      <c r="B160" s="2">
        <v>46014</v>
      </c>
      <c r="C160" s="2" t="str">
        <f>UPPER(TEXT(LANÇAMENTOS[[#This Row],[Data]],"mmm"))</f>
        <v>DEZ</v>
      </c>
      <c r="D160" s="2" t="str">
        <f>UPPER(TEXT(LANÇAMENTOS[[#This Row],[Data]],"AAAA"))</f>
        <v>2025</v>
      </c>
      <c r="E160" s="1" t="s">
        <v>44</v>
      </c>
      <c r="F160" s="1" t="s">
        <v>4</v>
      </c>
      <c r="G160" s="1" t="s">
        <v>46</v>
      </c>
      <c r="H160" s="1" t="str">
        <f>LANÇAMENTOS[[#This Row],[Categoria]]&amp;"-"&amp;LANÇAMENTOS[[#This Row],[Descrição]]</f>
        <v>CUIDADOS PESSOAIS-barbearia</v>
      </c>
      <c r="I160" s="1" t="str">
        <f>VLOOKUP(LANÇAMENTOS[[#This Row],[Coluna1]],[1]Planilha2!$K$2:$O$130,4,0)</f>
        <v>Cuidados Pessoais</v>
      </c>
      <c r="J160" s="1" t="str">
        <f>VLOOKUP(LANÇAMENTOS[[#This Row],[Coluna1]],[1]Planilha2!$K$2:$O$130,5,0)</f>
        <v>Barbearia</v>
      </c>
      <c r="L160" s="14">
        <v>105</v>
      </c>
      <c r="N160" s="1">
        <f>IF(ISNUMBER(LANÇAMENTOS[[#This Row],[Receita]]),LANÇAMENTOS[[#This Row],[Receita]],LANÇAMENTOS[[#This Row],[Transferência]])</f>
        <v>105</v>
      </c>
    </row>
    <row r="161" spans="2:14" x14ac:dyDescent="0.25">
      <c r="B161" s="2">
        <v>46014</v>
      </c>
      <c r="C161" s="2" t="str">
        <f>UPPER(TEXT(LANÇAMENTOS[[#This Row],[Data]],"mmm"))</f>
        <v>DEZ</v>
      </c>
      <c r="D161" s="2" t="str">
        <f>UPPER(TEXT(LANÇAMENTOS[[#This Row],[Data]],"AAAA"))</f>
        <v>2025</v>
      </c>
      <c r="E161" s="1" t="s">
        <v>20</v>
      </c>
      <c r="F161" s="1" t="s">
        <v>20</v>
      </c>
      <c r="G161" s="1" t="s">
        <v>59</v>
      </c>
      <c r="H161" s="1" t="str">
        <f>LANÇAMENTOS[[#This Row],[Categoria]]&amp;"-"&amp;LANÇAMENTOS[[#This Row],[Descrição]]</f>
        <v>INVESTIMENTO-investimento</v>
      </c>
      <c r="I161" s="1" t="str">
        <f>VLOOKUP(LANÇAMENTOS[[#This Row],[Coluna1]],[1]Planilha2!$K$2:$O$130,4,0)</f>
        <v>Investimentos</v>
      </c>
      <c r="J161" s="1" t="str">
        <f>VLOOKUP(LANÇAMENTOS[[#This Row],[Coluna1]],[1]Planilha2!$K$2:$O$130,5,0)</f>
        <v>Renda Fixa</v>
      </c>
      <c r="K161" s="14">
        <v>6.91</v>
      </c>
      <c r="N161" s="1">
        <f>IF(ISNUMBER(LANÇAMENTOS[[#This Row],[Receita]]),LANÇAMENTOS[[#This Row],[Receita]],LANÇAMENTOS[[#This Row],[Transferência]])</f>
        <v>6.91</v>
      </c>
    </row>
    <row r="162" spans="2:14" x14ac:dyDescent="0.25">
      <c r="B162" s="2">
        <v>46016</v>
      </c>
      <c r="C162" s="2" t="str">
        <f>UPPER(TEXT(LANÇAMENTOS[[#This Row],[Data]],"mmm"))</f>
        <v>DEZ</v>
      </c>
      <c r="D162" s="2" t="str">
        <f>UPPER(TEXT(LANÇAMENTOS[[#This Row],[Data]],"AAAA"))</f>
        <v>2025</v>
      </c>
      <c r="E162" s="1" t="s">
        <v>127</v>
      </c>
      <c r="F162" s="1" t="s">
        <v>4</v>
      </c>
      <c r="G162" s="1" t="s">
        <v>33</v>
      </c>
      <c r="H162" s="1" t="str">
        <f>LANÇAMENTOS[[#This Row],[Categoria]]&amp;"-"&amp;LANÇAMENTOS[[#This Row],[Descrição]]</f>
        <v>ALIMENTAÇÃO-ifood - cabana</v>
      </c>
      <c r="I162" s="1" t="str">
        <f>VLOOKUP(LANÇAMENTOS[[#This Row],[Coluna1]],[1]Planilha2!$K$2:$O$130,4,0)</f>
        <v>Alimentação</v>
      </c>
      <c r="J162" s="1" t="str">
        <f>VLOOKUP(LANÇAMENTOS[[#This Row],[Coluna1]],[1]Planilha2!$K$2:$O$130,5,0)</f>
        <v>Delivery</v>
      </c>
      <c r="L162" s="14">
        <v>166.17</v>
      </c>
      <c r="N162" s="1">
        <f>IF(ISNUMBER(LANÇAMENTOS[[#This Row],[Receita]]),LANÇAMENTOS[[#This Row],[Receita]],LANÇAMENTOS[[#This Row],[Transferência]])</f>
        <v>166.17</v>
      </c>
    </row>
    <row r="163" spans="2:14" x14ac:dyDescent="0.25">
      <c r="B163" s="2">
        <v>46017</v>
      </c>
      <c r="C163" s="2" t="str">
        <f>UPPER(TEXT(LANÇAMENTOS[[#This Row],[Data]],"mmm"))</f>
        <v>DEZ</v>
      </c>
      <c r="D163" s="2" t="str">
        <f>UPPER(TEXT(LANÇAMENTOS[[#This Row],[Data]],"AAAA"))</f>
        <v>2025</v>
      </c>
      <c r="E163" s="1" t="s">
        <v>123</v>
      </c>
      <c r="F163" s="1" t="s">
        <v>4</v>
      </c>
      <c r="G163" s="1" t="s">
        <v>27</v>
      </c>
      <c r="H163" s="1" t="str">
        <f>LANÇAMENTOS[[#This Row],[Categoria]]&amp;"-"&amp;LANÇAMENTOS[[#This Row],[Descrição]]</f>
        <v>LAZER-jogo</v>
      </c>
      <c r="I163" s="1" t="str">
        <f>VLOOKUP(LANÇAMENTOS[[#This Row],[Coluna1]],[1]Planilha2!$K$2:$O$130,4,0)</f>
        <v>Lazer</v>
      </c>
      <c r="J163" s="1" t="str">
        <f>VLOOKUP(LANÇAMENTOS[[#This Row],[Coluna1]],[1]Planilha2!$K$2:$O$130,5,0)</f>
        <v>Videogames</v>
      </c>
      <c r="L163" s="14">
        <v>9.99</v>
      </c>
      <c r="N163" s="1">
        <f>IF(ISNUMBER(LANÇAMENTOS[[#This Row],[Receita]]),LANÇAMENTOS[[#This Row],[Receita]],LANÇAMENTOS[[#This Row],[Transferência]])</f>
        <v>9.99</v>
      </c>
    </row>
    <row r="164" spans="2:14" x14ac:dyDescent="0.25">
      <c r="B164" s="2">
        <v>46018</v>
      </c>
      <c r="C164" s="2" t="str">
        <f>UPPER(TEXT(LANÇAMENTOS[[#This Row],[Data]],"mmm"))</f>
        <v>DEZ</v>
      </c>
      <c r="D164" s="2" t="str">
        <f>UPPER(TEXT(LANÇAMENTOS[[#This Row],[Data]],"AAAA"))</f>
        <v>2025</v>
      </c>
      <c r="E164" s="1" t="s">
        <v>68</v>
      </c>
      <c r="F164" s="1" t="s">
        <v>4</v>
      </c>
      <c r="G164" s="1" t="s">
        <v>27</v>
      </c>
      <c r="H164" s="1" t="str">
        <f>LANÇAMENTOS[[#This Row],[Categoria]]&amp;"-"&amp;LANÇAMENTOS[[#This Row],[Descrição]]</f>
        <v>LAZER-estacionamento</v>
      </c>
      <c r="I164" s="1" t="str">
        <f>VLOOKUP(LANÇAMENTOS[[#This Row],[Coluna1]],[1]Planilha2!$K$2:$O$130,4,0)</f>
        <v>Transporte</v>
      </c>
      <c r="J164" s="1" t="str">
        <f>VLOOKUP(LANÇAMENTOS[[#This Row],[Coluna1]],[1]Planilha2!$K$2:$O$130,5,0)</f>
        <v>Estacionamento</v>
      </c>
      <c r="L164" s="14">
        <v>30</v>
      </c>
      <c r="N164" s="1">
        <f>IF(ISNUMBER(LANÇAMENTOS[[#This Row],[Receita]]),LANÇAMENTOS[[#This Row],[Receita]],LANÇAMENTOS[[#This Row],[Transferência]])</f>
        <v>30</v>
      </c>
    </row>
    <row r="165" spans="2:14" x14ac:dyDescent="0.25">
      <c r="B165" s="2">
        <v>46019</v>
      </c>
      <c r="C165" s="2" t="str">
        <f>UPPER(TEXT(LANÇAMENTOS[[#This Row],[Data]],"mmm"))</f>
        <v>DEZ</v>
      </c>
      <c r="D165" s="2" t="str">
        <f>UPPER(TEXT(LANÇAMENTOS[[#This Row],[Data]],"AAAA"))</f>
        <v>2025</v>
      </c>
      <c r="E165" s="1" t="s">
        <v>128</v>
      </c>
      <c r="F165" s="1" t="s">
        <v>4</v>
      </c>
      <c r="G165" s="1" t="s">
        <v>33</v>
      </c>
      <c r="H165" s="1" t="str">
        <f>LANÇAMENTOS[[#This Row],[Categoria]]&amp;"-"&amp;LANÇAMENTOS[[#This Row],[Descrição]]</f>
        <v>ALIMENTAÇÃO-patties</v>
      </c>
      <c r="I165" s="1" t="str">
        <f>VLOOKUP(LANÇAMENTOS[[#This Row],[Coluna1]],[1]Planilha2!$K$2:$O$130,4,0)</f>
        <v>Alimentação</v>
      </c>
      <c r="J165" s="1" t="str">
        <f>VLOOKUP(LANÇAMENTOS[[#This Row],[Coluna1]],[1]Planilha2!$K$2:$O$130,5,0)</f>
        <v>Restaurante</v>
      </c>
      <c r="L165" s="14">
        <v>21.01</v>
      </c>
      <c r="N165" s="1">
        <f>IF(ISNUMBER(LANÇAMENTOS[[#This Row],[Receita]]),LANÇAMENTOS[[#This Row],[Receita]],LANÇAMENTOS[[#This Row],[Transferência]])</f>
        <v>21.01</v>
      </c>
    </row>
    <row r="166" spans="2:14" x14ac:dyDescent="0.25">
      <c r="B166" s="2">
        <v>46019</v>
      </c>
      <c r="C166" s="2" t="str">
        <f>UPPER(TEXT(LANÇAMENTOS[[#This Row],[Data]],"mmm"))</f>
        <v>DEZ</v>
      </c>
      <c r="D166" s="2" t="str">
        <f>UPPER(TEXT(LANÇAMENTOS[[#This Row],[Data]],"AAAA"))</f>
        <v>2025</v>
      </c>
      <c r="E166" s="1" t="s">
        <v>129</v>
      </c>
      <c r="F166" s="1" t="s">
        <v>4</v>
      </c>
      <c r="G166" s="1" t="s">
        <v>46</v>
      </c>
      <c r="H166" s="1" t="str">
        <f>LANÇAMENTOS[[#This Row],[Categoria]]&amp;"-"&amp;LANÇAMENTOS[[#This Row],[Descrição]]</f>
        <v>CUIDADOS PESSOAIS-renner</v>
      </c>
      <c r="I166" s="1" t="str">
        <f>VLOOKUP(LANÇAMENTOS[[#This Row],[Coluna1]],[1]Planilha2!$K$2:$O$130,4,0)</f>
        <v>Vestuário &amp; Acessórios</v>
      </c>
      <c r="J166" s="1" t="str">
        <f>VLOOKUP(LANÇAMENTOS[[#This Row],[Coluna1]],[1]Planilha2!$K$2:$O$130,5,0)</f>
        <v>Roupas</v>
      </c>
      <c r="L166" s="14">
        <v>59.9</v>
      </c>
      <c r="N166" s="1">
        <f>IF(ISNUMBER(LANÇAMENTOS[[#This Row],[Receita]]),LANÇAMENTOS[[#This Row],[Receita]],LANÇAMENTOS[[#This Row],[Transferência]])</f>
        <v>59.9</v>
      </c>
    </row>
    <row r="167" spans="2:14" x14ac:dyDescent="0.25">
      <c r="B167" s="2">
        <v>46021</v>
      </c>
      <c r="C167" s="2" t="str">
        <f>UPPER(TEXT(LANÇAMENTOS[[#This Row],[Data]],"mmm"))</f>
        <v>DEZ</v>
      </c>
      <c r="D167" s="2" t="str">
        <f>UPPER(TEXT(LANÇAMENTOS[[#This Row],[Data]],"AAAA"))</f>
        <v>2025</v>
      </c>
      <c r="E167" s="1" t="s">
        <v>18</v>
      </c>
      <c r="F167" s="1" t="s">
        <v>5</v>
      </c>
      <c r="G167" s="1" t="s">
        <v>25</v>
      </c>
      <c r="H167" s="1" t="str">
        <f>LANÇAMENTOS[[#This Row],[Categoria]]&amp;"-"&amp;LANÇAMENTOS[[#This Row],[Descrição]]</f>
        <v>SALÁRIO-Salario clt</v>
      </c>
      <c r="I167" s="1" t="str">
        <f>VLOOKUP(LANÇAMENTOS[[#This Row],[Coluna1]],[1]Planilha2!$K$2:$O$130,4,0)</f>
        <v>Profissional</v>
      </c>
      <c r="J167" s="1" t="str">
        <f>VLOOKUP(LANÇAMENTOS[[#This Row],[Coluna1]],[1]Planilha2!$K$2:$O$130,5,0)</f>
        <v>Salário</v>
      </c>
      <c r="K167" s="14">
        <v>5087.8100000000004</v>
      </c>
      <c r="N167" s="1">
        <f>IF(ISNUMBER(LANÇAMENTOS[[#This Row],[Receita]]),LANÇAMENTOS[[#This Row],[Receita]],LANÇAMENTOS[[#This Row],[Transferência]])</f>
        <v>5087.8100000000004</v>
      </c>
    </row>
    <row r="168" spans="2:14" x14ac:dyDescent="0.25">
      <c r="B168" s="2">
        <v>46021</v>
      </c>
      <c r="C168" s="2" t="str">
        <f>UPPER(TEXT(LANÇAMENTOS[[#This Row],[Data]],"mmm"))</f>
        <v>DEZ</v>
      </c>
      <c r="D168" s="2" t="str">
        <f>UPPER(TEXT(LANÇAMENTOS[[#This Row],[Data]],"AAAA"))</f>
        <v>2025</v>
      </c>
      <c r="E168" s="1" t="s">
        <v>19</v>
      </c>
      <c r="F168" s="1" t="s">
        <v>20</v>
      </c>
      <c r="G168" s="1" t="s">
        <v>59</v>
      </c>
      <c r="H168" s="1" t="str">
        <f>LANÇAMENTOS[[#This Row],[Categoria]]&amp;"-"&amp;LANÇAMENTOS[[#This Row],[Descrição]]</f>
        <v>INVESTIMENTO-prev privada</v>
      </c>
      <c r="I168" s="1" t="str">
        <f>VLOOKUP(LANÇAMENTOS[[#This Row],[Coluna1]],[1]Planilha2!$K$2:$O$130,4,0)</f>
        <v>Investimentos</v>
      </c>
      <c r="J168" s="1" t="str">
        <f>VLOOKUP(LANÇAMENTOS[[#This Row],[Coluna1]],[1]Planilha2!$K$2:$O$130,5,0)</f>
        <v>Previdência Privada</v>
      </c>
      <c r="L168" s="14">
        <v>252</v>
      </c>
      <c r="N168" s="1">
        <f>IF(ISNUMBER(LANÇAMENTOS[[#This Row],[Receita]]),LANÇAMENTOS[[#This Row],[Receita]],LANÇAMENTOS[[#This Row],[Transferência]])</f>
        <v>252</v>
      </c>
    </row>
    <row r="169" spans="2:14" x14ac:dyDescent="0.25">
      <c r="B169" s="2">
        <v>46024</v>
      </c>
      <c r="C169" s="2" t="str">
        <f>UPPER(TEXT(LANÇAMENTOS[[#This Row],[Data]],"mmm"))</f>
        <v>JAN</v>
      </c>
      <c r="D169" s="2" t="str">
        <f>UPPER(TEXT(LANÇAMENTOS[[#This Row],[Data]],"AAAA"))</f>
        <v>2026</v>
      </c>
      <c r="E169" s="1" t="s">
        <v>130</v>
      </c>
      <c r="F169" s="1" t="s">
        <v>4</v>
      </c>
      <c r="G169" s="1" t="s">
        <v>131</v>
      </c>
      <c r="H169" s="1" t="str">
        <f>LANÇAMENTOS[[#This Row],[Categoria]]&amp;"-"&amp;LANÇAMENTOS[[#This Row],[Descrição]]</f>
        <v>ASSINATURA-chatgpt</v>
      </c>
      <c r="I169" s="1" t="str">
        <f>VLOOKUP(LANÇAMENTOS[[#This Row],[Coluna1]],[1]Planilha2!$K$2:$O$130,4,0)</f>
        <v>Assinatura</v>
      </c>
      <c r="J169" s="1" t="str">
        <f>VLOOKUP(LANÇAMENTOS[[#This Row],[Coluna1]],[1]Planilha2!$K$2:$O$130,5,0)</f>
        <v>IA</v>
      </c>
      <c r="L169" s="14">
        <v>99.9</v>
      </c>
      <c r="N169" s="1">
        <f>IF(ISNUMBER(LANÇAMENTOS[[#This Row],[Receita]]),LANÇAMENTOS[[#This Row],[Receita]],LANÇAMENTOS[[#This Row],[Transferência]])</f>
        <v>99.9</v>
      </c>
    </row>
    <row r="170" spans="2:14" x14ac:dyDescent="0.25">
      <c r="B170" s="2">
        <v>46024</v>
      </c>
      <c r="C170" s="2" t="str">
        <f>UPPER(TEXT(LANÇAMENTOS[[#This Row],[Data]],"mmm"))</f>
        <v>JAN</v>
      </c>
      <c r="D170" s="2" t="str">
        <f>UPPER(TEXT(LANÇAMENTOS[[#This Row],[Data]],"AAAA"))</f>
        <v>2026</v>
      </c>
      <c r="E170" s="1" t="s">
        <v>132</v>
      </c>
      <c r="F170" s="1" t="s">
        <v>4</v>
      </c>
      <c r="G170" s="1" t="s">
        <v>31</v>
      </c>
      <c r="H170" s="1" t="str">
        <f>LANÇAMENTOS[[#This Row],[Categoria]]&amp;"-"&amp;LANÇAMENTOS[[#This Row],[Descrição]]</f>
        <v>CARTÃO-IOF</v>
      </c>
      <c r="I170" s="1" t="str">
        <f>VLOOKUP(LANÇAMENTOS[[#This Row],[Coluna1]],[1]Planilha2!$K$2:$O$130,4,0)</f>
        <v>Cartão</v>
      </c>
      <c r="J170" s="1" t="str">
        <f>VLOOKUP(LANÇAMENTOS[[#This Row],[Coluna1]],[1]Planilha2!$K$2:$O$130,5,0)</f>
        <v>IOF</v>
      </c>
      <c r="L170" s="14">
        <v>3.5</v>
      </c>
      <c r="N170" s="1">
        <f>IF(ISNUMBER(LANÇAMENTOS[[#This Row],[Receita]]),LANÇAMENTOS[[#This Row],[Receita]],LANÇAMENTOS[[#This Row],[Transferência]])</f>
        <v>3.5</v>
      </c>
    </row>
    <row r="171" spans="2:14" x14ac:dyDescent="0.25">
      <c r="B171" s="2">
        <v>46025</v>
      </c>
      <c r="C171" s="2" t="str">
        <f>UPPER(TEXT(LANÇAMENTOS[[#This Row],[Data]],"mmm"))</f>
        <v>JAN</v>
      </c>
      <c r="D171" s="2" t="str">
        <f>UPPER(TEXT(LANÇAMENTOS[[#This Row],[Data]],"AAAA"))</f>
        <v>2026</v>
      </c>
      <c r="E171" s="1" t="s">
        <v>77</v>
      </c>
      <c r="F171" s="1" t="s">
        <v>4</v>
      </c>
      <c r="G171" s="1" t="s">
        <v>131</v>
      </c>
      <c r="H171" s="1" t="str">
        <f>LANÇAMENTOS[[#This Row],[Categoria]]&amp;"-"&amp;LANÇAMENTOS[[#This Row],[Descrição]]</f>
        <v>ASSINATURA-spyads - mkt</v>
      </c>
      <c r="I171" s="1" t="str">
        <f>VLOOKUP(LANÇAMENTOS[[#This Row],[Coluna1]],[1]Planilha2!$K$2:$O$130,4,0)</f>
        <v>Assinatura</v>
      </c>
      <c r="J171" s="1" t="str">
        <f>VLOOKUP(LANÇAMENTOS[[#This Row],[Coluna1]],[1]Planilha2!$K$2:$O$130,5,0)</f>
        <v>Rateio</v>
      </c>
      <c r="L171" s="14">
        <v>80</v>
      </c>
      <c r="N171" s="1">
        <f>IF(ISNUMBER(LANÇAMENTOS[[#This Row],[Receita]]),LANÇAMENTOS[[#This Row],[Receita]],LANÇAMENTOS[[#This Row],[Transferência]])</f>
        <v>80</v>
      </c>
    </row>
    <row r="172" spans="2:14" x14ac:dyDescent="0.25">
      <c r="B172" s="2">
        <v>46025</v>
      </c>
      <c r="C172" s="2" t="str">
        <f>UPPER(TEXT(LANÇAMENTOS[[#This Row],[Data]],"mmm"))</f>
        <v>JAN</v>
      </c>
      <c r="D172" s="2" t="str">
        <f>UPPER(TEXT(LANÇAMENTOS[[#This Row],[Data]],"AAAA"))</f>
        <v>2026</v>
      </c>
      <c r="E172" s="1" t="s">
        <v>69</v>
      </c>
      <c r="F172" s="1" t="s">
        <v>4</v>
      </c>
      <c r="G172" s="1" t="s">
        <v>33</v>
      </c>
      <c r="H172" s="1" t="str">
        <f>LANÇAMENTOS[[#This Row],[Categoria]]&amp;"-"&amp;LANÇAMENTOS[[#This Row],[Descrição]]</f>
        <v>ALIMENTAÇÃO-mercado</v>
      </c>
      <c r="I172" s="1" t="str">
        <f>VLOOKUP(LANÇAMENTOS[[#This Row],[Coluna1]],[1]Planilha2!$K$2:$O$130,4,0)</f>
        <v>Alimentação</v>
      </c>
      <c r="J172" s="1" t="str">
        <f>VLOOKUP(LANÇAMENTOS[[#This Row],[Coluna1]],[1]Planilha2!$K$2:$O$130,5,0)</f>
        <v>Mercado</v>
      </c>
      <c r="L172" s="14">
        <v>148.25</v>
      </c>
      <c r="N172" s="1">
        <f>IF(ISNUMBER(LANÇAMENTOS[[#This Row],[Receita]]),LANÇAMENTOS[[#This Row],[Receita]],LANÇAMENTOS[[#This Row],[Transferência]])</f>
        <v>148.25</v>
      </c>
    </row>
    <row r="173" spans="2:14" x14ac:dyDescent="0.25">
      <c r="B173" s="2">
        <v>46025</v>
      </c>
      <c r="C173" s="2" t="str">
        <f>UPPER(TEXT(LANÇAMENTOS[[#This Row],[Data]],"mmm"))</f>
        <v>JAN</v>
      </c>
      <c r="D173" s="2" t="str">
        <f>UPPER(TEXT(LANÇAMENTOS[[#This Row],[Data]],"AAAA"))</f>
        <v>2026</v>
      </c>
      <c r="E173" s="1" t="s">
        <v>34</v>
      </c>
      <c r="F173" s="1" t="s">
        <v>4</v>
      </c>
      <c r="G173" s="1" t="s">
        <v>35</v>
      </c>
      <c r="H173" s="1" t="str">
        <f>LANÇAMENTOS[[#This Row],[Categoria]]&amp;"-"&amp;LANÇAMENTOS[[#This Row],[Descrição]]</f>
        <v>TRANSPORTE-uber</v>
      </c>
      <c r="I173" s="1" t="str">
        <f>VLOOKUP(LANÇAMENTOS[[#This Row],[Coluna1]],[1]Planilha2!$K$2:$O$130,4,0)</f>
        <v>Transporte</v>
      </c>
      <c r="J173" s="1" t="str">
        <f>VLOOKUP(LANÇAMENTOS[[#This Row],[Coluna1]],[1]Planilha2!$K$2:$O$130,5,0)</f>
        <v>Uber/táxi</v>
      </c>
      <c r="L173" s="14">
        <v>53.96</v>
      </c>
      <c r="N173" s="1">
        <f>IF(ISNUMBER(LANÇAMENTOS[[#This Row],[Receita]]),LANÇAMENTOS[[#This Row],[Receita]],LANÇAMENTOS[[#This Row],[Transferência]])</f>
        <v>53.96</v>
      </c>
    </row>
    <row r="174" spans="2:14" x14ac:dyDescent="0.25">
      <c r="B174" s="2">
        <v>46026</v>
      </c>
      <c r="C174" s="2" t="str">
        <f>UPPER(TEXT(LANÇAMENTOS[[#This Row],[Data]],"mmm"))</f>
        <v>JAN</v>
      </c>
      <c r="D174" s="2" t="str">
        <f>UPPER(TEXT(LANÇAMENTOS[[#This Row],[Data]],"AAAA"))</f>
        <v>2026</v>
      </c>
      <c r="E174" s="1" t="s">
        <v>34</v>
      </c>
      <c r="F174" s="1" t="s">
        <v>4</v>
      </c>
      <c r="G174" s="1" t="s">
        <v>35</v>
      </c>
      <c r="H174" s="1" t="str">
        <f>LANÇAMENTOS[[#This Row],[Categoria]]&amp;"-"&amp;LANÇAMENTOS[[#This Row],[Descrição]]</f>
        <v>TRANSPORTE-uber</v>
      </c>
      <c r="I174" s="1" t="str">
        <f>VLOOKUP(LANÇAMENTOS[[#This Row],[Coluna1]],[1]Planilha2!$K$2:$O$130,4,0)</f>
        <v>Transporte</v>
      </c>
      <c r="J174" s="1" t="str">
        <f>VLOOKUP(LANÇAMENTOS[[#This Row],[Coluna1]],[1]Planilha2!$K$2:$O$130,5,0)</f>
        <v>Uber/táxi</v>
      </c>
      <c r="L174" s="14">
        <v>38.57</v>
      </c>
      <c r="N174" s="1">
        <f>IF(ISNUMBER(LANÇAMENTOS[[#This Row],[Receita]]),LANÇAMENTOS[[#This Row],[Receita]],LANÇAMENTOS[[#This Row],[Transferência]])</f>
        <v>38.57</v>
      </c>
    </row>
    <row r="175" spans="2:14" x14ac:dyDescent="0.25">
      <c r="B175" s="2">
        <v>46026</v>
      </c>
      <c r="C175" s="2" t="str">
        <f>UPPER(TEXT(LANÇAMENTOS[[#This Row],[Data]],"mmm"))</f>
        <v>JAN</v>
      </c>
      <c r="D175" s="2" t="str">
        <f>UPPER(TEXT(LANÇAMENTOS[[#This Row],[Data]],"AAAA"))</f>
        <v>2026</v>
      </c>
      <c r="E175" s="1" t="s">
        <v>124</v>
      </c>
      <c r="F175" s="1" t="s">
        <v>4</v>
      </c>
      <c r="G175" s="1" t="s">
        <v>33</v>
      </c>
      <c r="H175" s="1" t="str">
        <f>LANÇAMENTOS[[#This Row],[Categoria]]&amp;"-"&amp;LANÇAMENTOS[[#This Row],[Descrição]]</f>
        <v>ALIMENTAÇÃO-mc donalds</v>
      </c>
      <c r="I175" s="1" t="str">
        <f>VLOOKUP(LANÇAMENTOS[[#This Row],[Coluna1]],[1]Planilha2!$K$2:$O$130,4,0)</f>
        <v>Alimentação</v>
      </c>
      <c r="J175" s="1" t="str">
        <f>VLOOKUP(LANÇAMENTOS[[#This Row],[Coluna1]],[1]Planilha2!$K$2:$O$130,5,0)</f>
        <v>Restaurante</v>
      </c>
      <c r="L175" s="14">
        <v>24.9</v>
      </c>
      <c r="N175" s="1">
        <f>IF(ISNUMBER(LANÇAMENTOS[[#This Row],[Receita]]),LANÇAMENTOS[[#This Row],[Receita]],LANÇAMENTOS[[#This Row],[Transferência]])</f>
        <v>24.9</v>
      </c>
    </row>
    <row r="176" spans="2:14" x14ac:dyDescent="0.25">
      <c r="B176" s="2">
        <v>46027</v>
      </c>
      <c r="C176" s="2" t="str">
        <f>UPPER(TEXT(LANÇAMENTOS[[#This Row],[Data]],"mmm"))</f>
        <v>JAN</v>
      </c>
      <c r="D176" s="2" t="str">
        <f>UPPER(TEXT(LANÇAMENTOS[[#This Row],[Data]],"AAAA"))</f>
        <v>2026</v>
      </c>
      <c r="E176" s="1" t="s">
        <v>63</v>
      </c>
      <c r="F176" s="1" t="s">
        <v>5</v>
      </c>
      <c r="G176" s="1" t="s">
        <v>141</v>
      </c>
      <c r="H176" s="1" t="str">
        <f>LANÇAMENTOS[[#This Row],[Categoria]]&amp;"-"&amp;LANÇAMENTOS[[#This Row],[Descrição]]</f>
        <v>PIX VA-pix</v>
      </c>
      <c r="I176" s="1" t="str">
        <f>VLOOKUP(LANÇAMENTOS[[#This Row],[Coluna1]],[1]Planilha2!$K$2:$O$130,4,0)</f>
        <v>Profissional</v>
      </c>
      <c r="J176" s="1" t="str">
        <f>VLOOKUP(LANÇAMENTOS[[#This Row],[Coluna1]],[1]Planilha2!$K$2:$O$130,5,0)</f>
        <v>VA</v>
      </c>
      <c r="K176" s="14">
        <v>1500</v>
      </c>
      <c r="N176" s="1">
        <f>IF(ISNUMBER(LANÇAMENTOS[[#This Row],[Receita]]),LANÇAMENTOS[[#This Row],[Receita]],LANÇAMENTOS[[#This Row],[Transferência]])</f>
        <v>1500</v>
      </c>
    </row>
    <row r="177" spans="2:14" x14ac:dyDescent="0.25">
      <c r="B177" s="2">
        <v>46027</v>
      </c>
      <c r="C177" s="2" t="str">
        <f>UPPER(TEXT(LANÇAMENTOS[[#This Row],[Data]],"mmm"))</f>
        <v>JAN</v>
      </c>
      <c r="D177" s="2" t="str">
        <f>UPPER(TEXT(LANÇAMENTOS[[#This Row],[Data]],"AAAA"))</f>
        <v>2026</v>
      </c>
      <c r="E177" s="1" t="s">
        <v>142</v>
      </c>
      <c r="F177" s="1" t="s">
        <v>4</v>
      </c>
      <c r="G177" s="1" t="s">
        <v>28</v>
      </c>
      <c r="H177" s="1" t="str">
        <f>LANÇAMENTOS[[#This Row],[Categoria]]&amp;"-"&amp;LANÇAMENTOS[[#This Row],[Descrição]]</f>
        <v>PIX ROLE-PRESENTE MAMAE</v>
      </c>
      <c r="I177" s="1" t="str">
        <f>VLOOKUP(LANÇAMENTOS[[#This Row],[Coluna1]],[1]Planilha2!$K$2:$O$130,4,0)</f>
        <v>Lazer</v>
      </c>
      <c r="J177" s="1" t="str">
        <f>VLOOKUP(LANÇAMENTOS[[#This Row],[Coluna1]],[1]Planilha2!$K$2:$O$130,5,0)</f>
        <v>Role</v>
      </c>
      <c r="L177" s="14">
        <v>300</v>
      </c>
      <c r="N177" s="1">
        <f>IF(ISNUMBER(LANÇAMENTOS[[#This Row],[Receita]]),LANÇAMENTOS[[#This Row],[Receita]],LANÇAMENTOS[[#This Row],[Transferência]])</f>
        <v>300</v>
      </c>
    </row>
    <row r="178" spans="2:14" x14ac:dyDescent="0.25">
      <c r="B178" s="2">
        <v>46031</v>
      </c>
      <c r="C178" s="2" t="str">
        <f>UPPER(TEXT(LANÇAMENTOS[[#This Row],[Data]],"mmm"))</f>
        <v>JAN</v>
      </c>
      <c r="D178" s="2" t="str">
        <f>UPPER(TEXT(LANÇAMENTOS[[#This Row],[Data]],"AAAA"))</f>
        <v>2026</v>
      </c>
      <c r="E178" s="1">
        <v>99</v>
      </c>
      <c r="F178" s="1" t="s">
        <v>4</v>
      </c>
      <c r="G178" s="1" t="s">
        <v>35</v>
      </c>
      <c r="H178" s="1" t="str">
        <f>LANÇAMENTOS[[#This Row],[Categoria]]&amp;"-"&amp;LANÇAMENTOS[[#This Row],[Descrição]]</f>
        <v>TRANSPORTE-99</v>
      </c>
      <c r="I178" s="1" t="str">
        <f>VLOOKUP(LANÇAMENTOS[[#This Row],[Coluna1]],[1]Planilha2!$K$2:$O$130,4,0)</f>
        <v>Transporte</v>
      </c>
      <c r="J178" s="1" t="str">
        <f>VLOOKUP(LANÇAMENTOS[[#This Row],[Coluna1]],[1]Planilha2!$K$2:$O$130,5,0)</f>
        <v>Uber/táxi</v>
      </c>
      <c r="L178" s="14">
        <v>40.24</v>
      </c>
      <c r="N178" s="1">
        <f>IF(ISNUMBER(LANÇAMENTOS[[#This Row],[Receita]]),LANÇAMENTOS[[#This Row],[Receita]],LANÇAMENTOS[[#This Row],[Transferência]])</f>
        <v>40.24</v>
      </c>
    </row>
    <row r="179" spans="2:14" x14ac:dyDescent="0.25">
      <c r="B179" s="2">
        <v>46031</v>
      </c>
      <c r="C179" s="2" t="str">
        <f>UPPER(TEXT(LANÇAMENTOS[[#This Row],[Data]],"mmm"))</f>
        <v>JAN</v>
      </c>
      <c r="D179" s="2" t="str">
        <f>UPPER(TEXT(LANÇAMENTOS[[#This Row],[Data]],"AAAA"))</f>
        <v>2026</v>
      </c>
      <c r="E179" s="1" t="s">
        <v>74</v>
      </c>
      <c r="F179" s="1" t="s">
        <v>4</v>
      </c>
      <c r="G179" s="1" t="s">
        <v>27</v>
      </c>
      <c r="H179" s="1" t="str">
        <f>LANÇAMENTOS[[#This Row],[Categoria]]&amp;"-"&amp;LANÇAMENTOS[[#This Row],[Descrição]]</f>
        <v>LAZER-pod</v>
      </c>
      <c r="I179" s="1" t="str">
        <f>VLOOKUP(LANÇAMENTOS[[#This Row],[Coluna1]],[1]Planilha2!$K$2:$O$130,4,0)</f>
        <v>Lazer</v>
      </c>
      <c r="J179" s="1" t="str">
        <f>VLOOKUP(LANÇAMENTOS[[#This Row],[Coluna1]],[1]Planilha2!$K$2:$O$130,5,0)</f>
        <v>Banca</v>
      </c>
      <c r="L179" s="14">
        <v>120</v>
      </c>
      <c r="N179" s="1">
        <f>IF(ISNUMBER(LANÇAMENTOS[[#This Row],[Receita]]),LANÇAMENTOS[[#This Row],[Receita]],LANÇAMENTOS[[#This Row],[Transferência]])</f>
        <v>120</v>
      </c>
    </row>
    <row r="180" spans="2:14" x14ac:dyDescent="0.25">
      <c r="B180" s="2">
        <v>46032</v>
      </c>
      <c r="C180" s="2" t="str">
        <f>UPPER(TEXT(LANÇAMENTOS[[#This Row],[Data]],"mmm"))</f>
        <v>JAN</v>
      </c>
      <c r="D180" s="2" t="str">
        <f>UPPER(TEXT(LANÇAMENTOS[[#This Row],[Data]],"AAAA"))</f>
        <v>2026</v>
      </c>
      <c r="E180" s="1" t="s">
        <v>133</v>
      </c>
      <c r="F180" s="1" t="s">
        <v>4</v>
      </c>
      <c r="G180" s="1" t="s">
        <v>27</v>
      </c>
      <c r="H180" s="1" t="str">
        <f>LANÇAMENTOS[[#This Row],[Categoria]]&amp;"-"&amp;LANÇAMENTOS[[#This Row],[Descrição]]</f>
        <v>LAZER-martinelli</v>
      </c>
      <c r="I180" s="1" t="str">
        <f>VLOOKUP(LANÇAMENTOS[[#This Row],[Coluna1]],[1]Planilha2!$K$2:$O$130,4,0)</f>
        <v>Lazer</v>
      </c>
      <c r="J180" s="1" t="str">
        <f>VLOOKUP(LANÇAMENTOS[[#This Row],[Coluna1]],[1]Planilha2!$K$2:$O$130,5,0)</f>
        <v>Balada</v>
      </c>
      <c r="L180" s="14">
        <v>54</v>
      </c>
      <c r="N180" s="1">
        <f>IF(ISNUMBER(LANÇAMENTOS[[#This Row],[Receita]]),LANÇAMENTOS[[#This Row],[Receita]],LANÇAMENTOS[[#This Row],[Transferência]])</f>
        <v>54</v>
      </c>
    </row>
    <row r="181" spans="2:14" x14ac:dyDescent="0.25">
      <c r="B181" s="2">
        <v>46032</v>
      </c>
      <c r="C181" s="2" t="str">
        <f>UPPER(TEXT(LANÇAMENTOS[[#This Row],[Data]],"mmm"))</f>
        <v>JAN</v>
      </c>
      <c r="D181" s="2" t="str">
        <f>UPPER(TEXT(LANÇAMENTOS[[#This Row],[Data]],"AAAA"))</f>
        <v>2026</v>
      </c>
      <c r="E181" s="1" t="s">
        <v>134</v>
      </c>
      <c r="F181" s="1" t="s">
        <v>4</v>
      </c>
      <c r="G181" s="1" t="s">
        <v>33</v>
      </c>
      <c r="H181" s="1" t="str">
        <f>LANÇAMENTOS[[#This Row],[Categoria]]&amp;"-"&amp;LANÇAMENTOS[[#This Row],[Descrição]]</f>
        <v>ALIMENTAÇÃO-suco - tambore</v>
      </c>
      <c r="I181" s="1" t="str">
        <f>VLOOKUP(LANÇAMENTOS[[#This Row],[Coluna1]],[1]Planilha2!$K$2:$O$130,4,0)</f>
        <v>Alimentação</v>
      </c>
      <c r="J181" s="1" t="str">
        <f>VLOOKUP(LANÇAMENTOS[[#This Row],[Coluna1]],[1]Planilha2!$K$2:$O$130,5,0)</f>
        <v>Restaurante</v>
      </c>
      <c r="L181" s="14">
        <v>19.989999999999998</v>
      </c>
      <c r="N181" s="1">
        <f>IF(ISNUMBER(LANÇAMENTOS[[#This Row],[Receita]]),LANÇAMENTOS[[#This Row],[Receita]],LANÇAMENTOS[[#This Row],[Transferência]])</f>
        <v>19.989999999999998</v>
      </c>
    </row>
    <row r="182" spans="2:14" x14ac:dyDescent="0.25">
      <c r="B182" s="2">
        <v>46032</v>
      </c>
      <c r="C182" s="2" t="str">
        <f>UPPER(TEXT(LANÇAMENTOS[[#This Row],[Data]],"mmm"))</f>
        <v>JAN</v>
      </c>
      <c r="D182" s="2" t="str">
        <f>UPPER(TEXT(LANÇAMENTOS[[#This Row],[Data]],"AAAA"))</f>
        <v>2026</v>
      </c>
      <c r="E182" s="1" t="s">
        <v>135</v>
      </c>
      <c r="F182" s="1" t="s">
        <v>4</v>
      </c>
      <c r="G182" s="1" t="s">
        <v>27</v>
      </c>
      <c r="H182" s="1" t="str">
        <f>LANÇAMENTOS[[#This Row],[Categoria]]&amp;"-"&amp;LANÇAMENTOS[[#This Row],[Descrição]]</f>
        <v>LAZER-centauro</v>
      </c>
      <c r="I182" s="1" t="str">
        <f>VLOOKUP(LANÇAMENTOS[[#This Row],[Coluna1]],[1]Planilha2!$K$2:$O$130,4,0)</f>
        <v>Lazer</v>
      </c>
      <c r="J182" s="1" t="str">
        <f>VLOOKUP(LANÇAMENTOS[[#This Row],[Coluna1]],[1]Planilha2!$K$2:$O$130,5,0)</f>
        <v>Acessórios Diversos</v>
      </c>
      <c r="L182" s="14">
        <v>199.99</v>
      </c>
      <c r="N182" s="1">
        <f>IF(ISNUMBER(LANÇAMENTOS[[#This Row],[Receita]]),LANÇAMENTOS[[#This Row],[Receita]],LANÇAMENTOS[[#This Row],[Transferência]])</f>
        <v>199.99</v>
      </c>
    </row>
    <row r="183" spans="2:14" x14ac:dyDescent="0.25">
      <c r="B183" s="2">
        <v>46032</v>
      </c>
      <c r="C183" s="2" t="str">
        <f>UPPER(TEXT(LANÇAMENTOS[[#This Row],[Data]],"mmm"))</f>
        <v>JAN</v>
      </c>
      <c r="D183" s="2" t="str">
        <f>UPPER(TEXT(LANÇAMENTOS[[#This Row],[Data]],"AAAA"))</f>
        <v>2026</v>
      </c>
      <c r="E183" s="1" t="s">
        <v>124</v>
      </c>
      <c r="F183" s="1" t="s">
        <v>4</v>
      </c>
      <c r="G183" s="1" t="s">
        <v>33</v>
      </c>
      <c r="H183" s="1" t="str">
        <f>LANÇAMENTOS[[#This Row],[Categoria]]&amp;"-"&amp;LANÇAMENTOS[[#This Row],[Descrição]]</f>
        <v>ALIMENTAÇÃO-mc donalds</v>
      </c>
      <c r="I183" s="1" t="str">
        <f>VLOOKUP(LANÇAMENTOS[[#This Row],[Coluna1]],[1]Planilha2!$K$2:$O$130,4,0)</f>
        <v>Alimentação</v>
      </c>
      <c r="J183" s="1" t="str">
        <f>VLOOKUP(LANÇAMENTOS[[#This Row],[Coluna1]],[1]Planilha2!$K$2:$O$130,5,0)</f>
        <v>Restaurante</v>
      </c>
      <c r="L183" s="14">
        <v>43.9</v>
      </c>
      <c r="N183" s="1">
        <f>IF(ISNUMBER(LANÇAMENTOS[[#This Row],[Receita]]),LANÇAMENTOS[[#This Row],[Receita]],LANÇAMENTOS[[#This Row],[Transferência]])</f>
        <v>43.9</v>
      </c>
    </row>
    <row r="184" spans="2:14" x14ac:dyDescent="0.25">
      <c r="B184" s="2">
        <v>46032</v>
      </c>
      <c r="C184" s="2" t="str">
        <f>UPPER(TEXT(LANÇAMENTOS[[#This Row],[Data]],"mmm"))</f>
        <v>JAN</v>
      </c>
      <c r="D184" s="2" t="str">
        <f>UPPER(TEXT(LANÇAMENTOS[[#This Row],[Data]],"AAAA"))</f>
        <v>2026</v>
      </c>
      <c r="E184" s="1" t="s">
        <v>34</v>
      </c>
      <c r="F184" s="1" t="s">
        <v>4</v>
      </c>
      <c r="G184" s="1" t="s">
        <v>35</v>
      </c>
      <c r="H184" s="1" t="str">
        <f>LANÇAMENTOS[[#This Row],[Categoria]]&amp;"-"&amp;LANÇAMENTOS[[#This Row],[Descrição]]</f>
        <v>TRANSPORTE-uber</v>
      </c>
      <c r="I184" s="1" t="str">
        <f>VLOOKUP(LANÇAMENTOS[[#This Row],[Coluna1]],[1]Planilha2!$K$2:$O$130,4,0)</f>
        <v>Transporte</v>
      </c>
      <c r="J184" s="1" t="str">
        <f>VLOOKUP(LANÇAMENTOS[[#This Row],[Coluna1]],[1]Planilha2!$K$2:$O$130,5,0)</f>
        <v>Uber/táxi</v>
      </c>
      <c r="L184" s="14">
        <v>31.45</v>
      </c>
      <c r="N184" s="1">
        <f>IF(ISNUMBER(LANÇAMENTOS[[#This Row],[Receita]]),LANÇAMENTOS[[#This Row],[Receita]],LANÇAMENTOS[[#This Row],[Transferência]])</f>
        <v>31.45</v>
      </c>
    </row>
    <row r="185" spans="2:14" x14ac:dyDescent="0.25">
      <c r="B185" s="2">
        <v>46034</v>
      </c>
      <c r="C185" s="2" t="str">
        <f>UPPER(TEXT(LANÇAMENTOS[[#This Row],[Data]],"mmm"))</f>
        <v>JAN</v>
      </c>
      <c r="D185" s="2" t="str">
        <f>UPPER(TEXT(LANÇAMENTOS[[#This Row],[Data]],"AAAA"))</f>
        <v>2026</v>
      </c>
      <c r="E185" s="1" t="s">
        <v>143</v>
      </c>
      <c r="F185" s="1" t="s">
        <v>5</v>
      </c>
      <c r="G185" s="1" t="s">
        <v>143</v>
      </c>
      <c r="H185" s="1" t="str">
        <f>LANÇAMENTOS[[#This Row],[Categoria]]&amp;"-"&amp;LANÇAMENTOS[[#This Row],[Descrição]]</f>
        <v>REEMBOLSO-REEMBOLSO</v>
      </c>
      <c r="I185" s="1" t="str">
        <f>VLOOKUP(LANÇAMENTOS[[#This Row],[Coluna1]],[1]Planilha2!$K$2:$O$130,4,0)</f>
        <v>Profissional</v>
      </c>
      <c r="J185" s="1" t="str">
        <f>VLOOKUP(LANÇAMENTOS[[#This Row],[Coluna1]],[1]Planilha2!$K$2:$O$130,5,0)</f>
        <v>Reembolso</v>
      </c>
      <c r="K185" s="14">
        <v>135.28</v>
      </c>
      <c r="N185" s="1">
        <f>IF(ISNUMBER(LANÇAMENTOS[[#This Row],[Receita]]),LANÇAMENTOS[[#This Row],[Receita]],LANÇAMENTOS[[#This Row],[Transferência]])</f>
        <v>135.28</v>
      </c>
    </row>
    <row r="186" spans="2:14" x14ac:dyDescent="0.25">
      <c r="B186" s="2">
        <v>46034</v>
      </c>
      <c r="C186" s="2" t="str">
        <f>UPPER(TEXT(LANÇAMENTOS[[#This Row],[Data]],"mmm"))</f>
        <v>JAN</v>
      </c>
      <c r="D186" s="2" t="str">
        <f>UPPER(TEXT(LANÇAMENTOS[[#This Row],[Data]],"AAAA"))</f>
        <v>2026</v>
      </c>
      <c r="E186" s="1" t="s">
        <v>144</v>
      </c>
      <c r="F186" s="1" t="s">
        <v>5</v>
      </c>
      <c r="G186" s="1" t="s">
        <v>28</v>
      </c>
      <c r="H186" s="1" t="str">
        <f>LANÇAMENTOS[[#This Row],[Categoria]]&amp;"-"&amp;LANÇAMENTOS[[#This Row],[Descrição]]</f>
        <v>PIX ROLE-PIX ZORD</v>
      </c>
      <c r="I186" s="1" t="str">
        <f>VLOOKUP(LANÇAMENTOS[[#This Row],[Coluna1]],[1]Planilha2!$K$2:$O$130,4,0)</f>
        <v>Lazer</v>
      </c>
      <c r="J186" s="1" t="str">
        <f>VLOOKUP(LANÇAMENTOS[[#This Row],[Coluna1]],[1]Planilha2!$K$2:$O$130,5,0)</f>
        <v>Role</v>
      </c>
      <c r="K186" s="14">
        <v>100</v>
      </c>
      <c r="N186" s="1">
        <f>IF(ISNUMBER(LANÇAMENTOS[[#This Row],[Receita]]),LANÇAMENTOS[[#This Row],[Receita]],LANÇAMENTOS[[#This Row],[Transferência]])</f>
        <v>100</v>
      </c>
    </row>
    <row r="187" spans="2:14" x14ac:dyDescent="0.25">
      <c r="B187" s="2">
        <v>46034</v>
      </c>
      <c r="C187" s="2" t="str">
        <f>UPPER(TEXT(LANÇAMENTOS[[#This Row],[Data]],"mmm"))</f>
        <v>JAN</v>
      </c>
      <c r="D187" s="2" t="str">
        <f>UPPER(TEXT(LANÇAMENTOS[[#This Row],[Data]],"AAAA"))</f>
        <v>2026</v>
      </c>
      <c r="E187" s="1" t="s">
        <v>55</v>
      </c>
      <c r="F187" s="1" t="s">
        <v>4</v>
      </c>
      <c r="G187" s="1" t="s">
        <v>56</v>
      </c>
      <c r="H187" s="1" t="str">
        <f>LANÇAMENTOS[[#This Row],[Categoria]]&amp;"-"&amp;LANÇAMENTOS[[#This Row],[Descrição]]</f>
        <v>APARTAMENTO-Apartamento</v>
      </c>
      <c r="I187" s="1" t="str">
        <f>VLOOKUP(LANÇAMENTOS[[#This Row],[Coluna1]],[1]Planilha2!$K$2:$O$130,4,0)</f>
        <v>Moradia</v>
      </c>
      <c r="J187" s="1" t="str">
        <f>VLOOKUP(LANÇAMENTOS[[#This Row],[Coluna1]],[1]Planilha2!$K$2:$O$130,5,0)</f>
        <v>Parcela apto</v>
      </c>
      <c r="L187" s="14">
        <v>2350.3000000000002</v>
      </c>
      <c r="N187" s="1">
        <f>IF(ISNUMBER(LANÇAMENTOS[[#This Row],[Receita]]),LANÇAMENTOS[[#This Row],[Receita]],LANÇAMENTOS[[#This Row],[Transferência]])</f>
        <v>2350.3000000000002</v>
      </c>
    </row>
    <row r="188" spans="2:14" x14ac:dyDescent="0.25">
      <c r="B188" s="2">
        <v>46034</v>
      </c>
      <c r="C188" s="2" t="str">
        <f>UPPER(TEXT(LANÇAMENTOS[[#This Row],[Data]],"mmm"))</f>
        <v>JAN</v>
      </c>
      <c r="D188" s="2" t="str">
        <f>UPPER(TEXT(LANÇAMENTOS[[#This Row],[Data]],"AAAA"))</f>
        <v>2026</v>
      </c>
      <c r="E188" s="1" t="s">
        <v>64</v>
      </c>
      <c r="F188" s="1" t="s">
        <v>4</v>
      </c>
      <c r="G188" s="1" t="s">
        <v>31</v>
      </c>
      <c r="H188" s="1" t="str">
        <f>LANÇAMENTOS[[#This Row],[Categoria]]&amp;"-"&amp;LANÇAMENTOS[[#This Row],[Descrição]]</f>
        <v>CARTÃO-gastos cartao</v>
      </c>
      <c r="I188" s="1" t="str">
        <f>VLOOKUP(LANÇAMENTOS[[#This Row],[Coluna1]],[1]Planilha2!$K$2:$O$130,4,0)</f>
        <v>Cartão</v>
      </c>
      <c r="J188" s="1" t="str">
        <f>VLOOKUP(LANÇAMENTOS[[#This Row],[Coluna1]],[1]Planilha2!$K$2:$O$130,5,0)</f>
        <v>-</v>
      </c>
      <c r="L188" s="14">
        <v>89.99</v>
      </c>
      <c r="N188" s="1">
        <f>IF(ISNUMBER(LANÇAMENTOS[[#This Row],[Receita]]),LANÇAMENTOS[[#This Row],[Receita]],LANÇAMENTOS[[#This Row],[Transferência]])</f>
        <v>89.99</v>
      </c>
    </row>
    <row r="189" spans="2:14" x14ac:dyDescent="0.25">
      <c r="B189" s="2">
        <v>46035</v>
      </c>
      <c r="C189" s="2" t="str">
        <f>UPPER(TEXT(LANÇAMENTOS[[#This Row],[Data]],"mmm"))</f>
        <v>JAN</v>
      </c>
      <c r="D189" s="2" t="str">
        <f>UPPER(TEXT(LANÇAMENTOS[[#This Row],[Data]],"AAAA"))</f>
        <v>2026</v>
      </c>
      <c r="E189" s="1" t="s">
        <v>136</v>
      </c>
      <c r="F189" s="1" t="s">
        <v>4</v>
      </c>
      <c r="G189" s="1" t="s">
        <v>33</v>
      </c>
      <c r="H189" s="1" t="str">
        <f>LANÇAMENTOS[[#This Row],[Categoria]]&amp;"-"&amp;LANÇAMENTOS[[#This Row],[Descrição]]</f>
        <v>ALIMENTAÇÃO-casa pilão</v>
      </c>
      <c r="I189" s="1" t="str">
        <f>VLOOKUP(LANÇAMENTOS[[#This Row],[Coluna1]],[1]Planilha2!$K$2:$O$130,4,0)</f>
        <v>Alimentação</v>
      </c>
      <c r="J189" s="1" t="str">
        <f>VLOOKUP(LANÇAMENTOS[[#This Row],[Coluna1]],[1]Planilha2!$K$2:$O$130,5,0)</f>
        <v>Restaurante</v>
      </c>
      <c r="L189" s="14">
        <v>37.4</v>
      </c>
      <c r="N189" s="1">
        <f>IF(ISNUMBER(LANÇAMENTOS[[#This Row],[Receita]]),LANÇAMENTOS[[#This Row],[Receita]],LANÇAMENTOS[[#This Row],[Transferência]])</f>
        <v>37.4</v>
      </c>
    </row>
    <row r="190" spans="2:14" x14ac:dyDescent="0.25">
      <c r="B190" s="2">
        <v>46035</v>
      </c>
      <c r="C190" s="2" t="str">
        <f>UPPER(TEXT(LANÇAMENTOS[[#This Row],[Data]],"mmm"))</f>
        <v>JAN</v>
      </c>
      <c r="D190" s="2" t="str">
        <f>UPPER(TEXT(LANÇAMENTOS[[#This Row],[Data]],"AAAA"))</f>
        <v>2026</v>
      </c>
      <c r="E190" s="1" t="s">
        <v>137</v>
      </c>
      <c r="F190" s="1" t="s">
        <v>4</v>
      </c>
      <c r="G190" s="1" t="s">
        <v>27</v>
      </c>
      <c r="H190" s="1" t="str">
        <f>LANÇAMENTOS[[#This Row],[Categoria]]&amp;"-"&amp;LANÇAMENTOS[[#This Row],[Descrição]]</f>
        <v>LAZER-OF</v>
      </c>
      <c r="I190" s="1" t="str">
        <f>VLOOKUP(LANÇAMENTOS[[#This Row],[Coluna1]],[1]Planilha2!$K$2:$O$130,4,0)</f>
        <v>Lazer</v>
      </c>
      <c r="J190" s="1" t="str">
        <f>VLOOKUP(LANÇAMENTOS[[#This Row],[Coluna1]],[1]Planilha2!$K$2:$O$130,5,0)</f>
        <v>Acessórios Diversos</v>
      </c>
      <c r="L190" s="14">
        <v>55.79</v>
      </c>
      <c r="N190" s="1">
        <f>IF(ISNUMBER(LANÇAMENTOS[[#This Row],[Receita]]),LANÇAMENTOS[[#This Row],[Receita]],LANÇAMENTOS[[#This Row],[Transferência]])</f>
        <v>55.79</v>
      </c>
    </row>
    <row r="191" spans="2:14" x14ac:dyDescent="0.25">
      <c r="B191" s="2">
        <v>46037</v>
      </c>
      <c r="C191" s="2" t="str">
        <f>UPPER(TEXT(LANÇAMENTOS[[#This Row],[Data]],"mmm"))</f>
        <v>JAN</v>
      </c>
      <c r="D191" s="2" t="str">
        <f>UPPER(TEXT(LANÇAMENTOS[[#This Row],[Data]],"AAAA"))</f>
        <v>2026</v>
      </c>
      <c r="E191" s="1" t="s">
        <v>85</v>
      </c>
      <c r="F191" s="1" t="s">
        <v>4</v>
      </c>
      <c r="G191" s="1" t="s">
        <v>27</v>
      </c>
      <c r="H191" s="1" t="str">
        <f>LANÇAMENTOS[[#This Row],[Categoria]]&amp;"-"&amp;LANÇAMENTOS[[#This Row],[Descrição]]</f>
        <v>LAZER-blacktag</v>
      </c>
      <c r="I191" s="1" t="str">
        <f>VLOOKUP(LANÇAMENTOS[[#This Row],[Coluna1]],[1]Planilha2!$K$2:$O$130,4,0)</f>
        <v>Lazer</v>
      </c>
      <c r="J191" s="1" t="str">
        <f>VLOOKUP(LANÇAMENTOS[[#This Row],[Coluna1]],[1]Planilha2!$K$2:$O$130,5,0)</f>
        <v>Role</v>
      </c>
      <c r="L191" s="14">
        <v>159.63</v>
      </c>
      <c r="N191" s="1">
        <f>IF(ISNUMBER(LANÇAMENTOS[[#This Row],[Receita]]),LANÇAMENTOS[[#This Row],[Receita]],LANÇAMENTOS[[#This Row],[Transferência]])</f>
        <v>159.63</v>
      </c>
    </row>
    <row r="192" spans="2:14" x14ac:dyDescent="0.25">
      <c r="B192" s="2">
        <v>46037</v>
      </c>
      <c r="C192" s="2" t="str">
        <f>UPPER(TEXT(LANÇAMENTOS[[#This Row],[Data]],"mmm"))</f>
        <v>JAN</v>
      </c>
      <c r="D192" s="2" t="str">
        <f>UPPER(TEXT(LANÇAMENTOS[[#This Row],[Data]],"AAAA"))</f>
        <v>2026</v>
      </c>
      <c r="E192" s="1" t="s">
        <v>83</v>
      </c>
      <c r="F192" s="1" t="s">
        <v>4</v>
      </c>
      <c r="G192" s="1" t="s">
        <v>46</v>
      </c>
      <c r="H192" s="1" t="str">
        <f>LANÇAMENTOS[[#This Row],[Categoria]]&amp;"-"&amp;LANÇAMENTOS[[#This Row],[Descrição]]</f>
        <v>CUIDADOS PESSOAIS-aramis</v>
      </c>
      <c r="I192" s="1" t="str">
        <f>VLOOKUP(LANÇAMENTOS[[#This Row],[Coluna1]],[1]Planilha2!$K$2:$O$130,4,0)</f>
        <v>Vestuário &amp; Acessórios</v>
      </c>
      <c r="J192" s="1" t="str">
        <f>VLOOKUP(LANÇAMENTOS[[#This Row],[Coluna1]],[1]Planilha2!$K$2:$O$130,5,0)</f>
        <v>Roupas</v>
      </c>
      <c r="L192" s="14">
        <v>296.58</v>
      </c>
      <c r="N192" s="1">
        <f>IF(ISNUMBER(LANÇAMENTOS[[#This Row],[Receita]]),LANÇAMENTOS[[#This Row],[Receita]],LANÇAMENTOS[[#This Row],[Transferência]])</f>
        <v>296.58</v>
      </c>
    </row>
    <row r="193" spans="2:14" x14ac:dyDescent="0.25">
      <c r="B193" s="2">
        <v>46037</v>
      </c>
      <c r="C193" s="2" t="str">
        <f>UPPER(TEXT(LANÇAMENTOS[[#This Row],[Data]],"mmm"))</f>
        <v>JAN</v>
      </c>
      <c r="D193" s="2" t="str">
        <f>UPPER(TEXT(LANÇAMENTOS[[#This Row],[Data]],"AAAA"))</f>
        <v>2026</v>
      </c>
      <c r="E193" s="1" t="s">
        <v>84</v>
      </c>
      <c r="F193" s="1" t="s">
        <v>4</v>
      </c>
      <c r="G193" s="1" t="s">
        <v>46</v>
      </c>
      <c r="H193" s="1" t="str">
        <f>LANÇAMENTOS[[#This Row],[Categoria]]&amp;"-"&amp;LANÇAMENTOS[[#This Row],[Descrição]]</f>
        <v>CUIDADOS PESSOAIS-vans</v>
      </c>
      <c r="I193" s="1" t="str">
        <f>VLOOKUP(LANÇAMENTOS[[#This Row],[Coluna1]],[1]Planilha2!$K$2:$O$130,4,0)</f>
        <v>Vestuário &amp; Acessórios</v>
      </c>
      <c r="J193" s="1" t="str">
        <f>VLOOKUP(LANÇAMENTOS[[#This Row],[Coluna1]],[1]Planilha2!$K$2:$O$130,5,0)</f>
        <v>Roupas</v>
      </c>
      <c r="L193" s="14">
        <v>126.01</v>
      </c>
      <c r="N193" s="1">
        <f>IF(ISNUMBER(LANÇAMENTOS[[#This Row],[Receita]]),LANÇAMENTOS[[#This Row],[Receita]],LANÇAMENTOS[[#This Row],[Transferência]])</f>
        <v>126.01</v>
      </c>
    </row>
    <row r="194" spans="2:14" x14ac:dyDescent="0.25">
      <c r="B194" s="2">
        <v>46038</v>
      </c>
      <c r="C194" s="2" t="str">
        <f>UPPER(TEXT(LANÇAMENTOS[[#This Row],[Data]],"mmm"))</f>
        <v>JAN</v>
      </c>
      <c r="D194" s="2" t="str">
        <f>UPPER(TEXT(LANÇAMENTOS[[#This Row],[Data]],"AAAA"))</f>
        <v>2026</v>
      </c>
      <c r="E194" s="1" t="s">
        <v>34</v>
      </c>
      <c r="F194" s="1" t="s">
        <v>4</v>
      </c>
      <c r="G194" s="1" t="s">
        <v>35</v>
      </c>
      <c r="H194" s="1" t="str">
        <f>LANÇAMENTOS[[#This Row],[Categoria]]&amp;"-"&amp;LANÇAMENTOS[[#This Row],[Descrição]]</f>
        <v>TRANSPORTE-uber</v>
      </c>
      <c r="I194" s="1" t="str">
        <f>VLOOKUP(LANÇAMENTOS[[#This Row],[Coluna1]],[1]Planilha2!$K$2:$O$130,4,0)</f>
        <v>Transporte</v>
      </c>
      <c r="J194" s="1" t="str">
        <f>VLOOKUP(LANÇAMENTOS[[#This Row],[Coluna1]],[1]Planilha2!$K$2:$O$130,5,0)</f>
        <v>Uber/táxi</v>
      </c>
      <c r="L194" s="14">
        <v>77.959999999999994</v>
      </c>
      <c r="N194" s="1">
        <f>IF(ISNUMBER(LANÇAMENTOS[[#This Row],[Receita]]),LANÇAMENTOS[[#This Row],[Receita]],LANÇAMENTOS[[#This Row],[Transferência]])</f>
        <v>77.959999999999994</v>
      </c>
    </row>
    <row r="195" spans="2:14" x14ac:dyDescent="0.25">
      <c r="B195" s="2">
        <v>46038</v>
      </c>
      <c r="C195" s="2" t="str">
        <f>UPPER(TEXT(LANÇAMENTOS[[#This Row],[Data]],"mmm"))</f>
        <v>JAN</v>
      </c>
      <c r="D195" s="2" t="str">
        <f>UPPER(TEXT(LANÇAMENTOS[[#This Row],[Data]],"AAAA"))</f>
        <v>2026</v>
      </c>
      <c r="E195" s="1" t="s">
        <v>119</v>
      </c>
      <c r="F195" s="1" t="s">
        <v>20</v>
      </c>
      <c r="G195" s="1" t="s">
        <v>59</v>
      </c>
      <c r="H195" s="1" t="str">
        <f>LANÇAMENTOS[[#This Row],[Categoria]]&amp;"-"&amp;LANÇAMENTOS[[#This Row],[Descrição]]</f>
        <v>INVESTIMENTO-dividendos investimento</v>
      </c>
      <c r="I195" s="1" t="str">
        <f>VLOOKUP(LANÇAMENTOS[[#This Row],[Coluna1]],[1]Planilha2!$K$2:$O$130,4,0)</f>
        <v>Investimentos</v>
      </c>
      <c r="J195" s="1" t="str">
        <f>VLOOKUP(LANÇAMENTOS[[#This Row],[Coluna1]],[1]Planilha2!$K$2:$O$130,5,0)</f>
        <v>Rendimentos/Dividendos</v>
      </c>
      <c r="K195" s="14">
        <v>11.09</v>
      </c>
      <c r="N195" s="1">
        <f>IF(ISNUMBER(LANÇAMENTOS[[#This Row],[Receita]]),LANÇAMENTOS[[#This Row],[Receita]],LANÇAMENTOS[[#This Row],[Transferência]])</f>
        <v>11.09</v>
      </c>
    </row>
    <row r="196" spans="2:14" x14ac:dyDescent="0.25">
      <c r="B196" s="2">
        <v>46038</v>
      </c>
      <c r="C196" s="2" t="str">
        <f>UPPER(TEXT(LANÇAMENTOS[[#This Row],[Data]],"mmm"))</f>
        <v>JAN</v>
      </c>
      <c r="D196" s="2" t="str">
        <f>UPPER(TEXT(LANÇAMENTOS[[#This Row],[Data]],"AAAA"))</f>
        <v>2026</v>
      </c>
      <c r="E196" s="1" t="s">
        <v>146</v>
      </c>
      <c r="F196" s="1" t="s">
        <v>4</v>
      </c>
      <c r="G196" s="1" t="s">
        <v>28</v>
      </c>
      <c r="H196" s="1" t="str">
        <f>LANÇAMENTOS[[#This Row],[Categoria]]&amp;"-"&amp;LANÇAMENTOS[[#This Row],[Descrição]]</f>
        <v>PIX ROLE-PIX</v>
      </c>
      <c r="I196" s="1" t="str">
        <f>VLOOKUP(LANÇAMENTOS[[#This Row],[Coluna1]],[1]Planilha2!$K$2:$O$130,4,0)</f>
        <v>Lazer</v>
      </c>
      <c r="J196" s="1" t="str">
        <f>VLOOKUP(LANÇAMENTOS[[#This Row],[Coluna1]],[1]Planilha2!$K$2:$O$130,5,0)</f>
        <v>Role</v>
      </c>
      <c r="L196" s="14">
        <v>50</v>
      </c>
      <c r="N196" s="1">
        <f>IF(ISNUMBER(LANÇAMENTOS[[#This Row],[Receita]]),LANÇAMENTOS[[#This Row],[Receita]],LANÇAMENTOS[[#This Row],[Transferência]])</f>
        <v>50</v>
      </c>
    </row>
    <row r="197" spans="2:14" x14ac:dyDescent="0.25">
      <c r="B197" s="2">
        <v>46039</v>
      </c>
      <c r="C197" s="2" t="str">
        <f>UPPER(TEXT(LANÇAMENTOS[[#This Row],[Data]],"mmm"))</f>
        <v>JAN</v>
      </c>
      <c r="D197" s="2" t="str">
        <f>UPPER(TEXT(LANÇAMENTOS[[#This Row],[Data]],"AAAA"))</f>
        <v>2026</v>
      </c>
      <c r="E197" s="1" t="s">
        <v>138</v>
      </c>
      <c r="F197" s="1" t="s">
        <v>4</v>
      </c>
      <c r="G197" s="1" t="s">
        <v>27</v>
      </c>
      <c r="H197" s="1" t="str">
        <f>LANÇAMENTOS[[#This Row],[Categoria]]&amp;"-"&amp;LANÇAMENTOS[[#This Row],[Descrição]]</f>
        <v>LAZER-cu do padre</v>
      </c>
      <c r="I197" s="1" t="str">
        <f>VLOOKUP(LANÇAMENTOS[[#This Row],[Coluna1]],[1]Planilha2!$K$2:$O$130,4,0)</f>
        <v>Lazer</v>
      </c>
      <c r="J197" s="1" t="str">
        <f>VLOOKUP(LANÇAMENTOS[[#This Row],[Coluna1]],[1]Planilha2!$K$2:$O$130,5,0)</f>
        <v>Bar</v>
      </c>
      <c r="L197" s="14">
        <v>127.58</v>
      </c>
      <c r="N197" s="1">
        <f>IF(ISNUMBER(LANÇAMENTOS[[#This Row],[Receita]]),LANÇAMENTOS[[#This Row],[Receita]],LANÇAMENTOS[[#This Row],[Transferência]])</f>
        <v>127.58</v>
      </c>
    </row>
    <row r="198" spans="2:14" x14ac:dyDescent="0.25">
      <c r="B198" s="2">
        <v>46039</v>
      </c>
      <c r="C198" s="2" t="str">
        <f>UPPER(TEXT(LANÇAMENTOS[[#This Row],[Data]],"mmm"))</f>
        <v>JAN</v>
      </c>
      <c r="D198" s="2" t="str">
        <f>UPPER(TEXT(LANÇAMENTOS[[#This Row],[Data]],"AAAA"))</f>
        <v>2026</v>
      </c>
      <c r="E198" s="1" t="s">
        <v>138</v>
      </c>
      <c r="F198" s="1" t="s">
        <v>4</v>
      </c>
      <c r="G198" s="1" t="s">
        <v>27</v>
      </c>
      <c r="H198" s="1" t="str">
        <f>LANÇAMENTOS[[#This Row],[Categoria]]&amp;"-"&amp;LANÇAMENTOS[[#This Row],[Descrição]]</f>
        <v>LAZER-cu do padre</v>
      </c>
      <c r="I198" s="1" t="str">
        <f>VLOOKUP(LANÇAMENTOS[[#This Row],[Coluna1]],[1]Planilha2!$K$2:$O$130,4,0)</f>
        <v>Lazer</v>
      </c>
      <c r="J198" s="1" t="str">
        <f>VLOOKUP(LANÇAMENTOS[[#This Row],[Coluna1]],[1]Planilha2!$K$2:$O$130,5,0)</f>
        <v>Bar</v>
      </c>
      <c r="L198" s="14">
        <v>14.3</v>
      </c>
      <c r="N198" s="1">
        <f>IF(ISNUMBER(LANÇAMENTOS[[#This Row],[Receita]]),LANÇAMENTOS[[#This Row],[Receita]],LANÇAMENTOS[[#This Row],[Transferência]])</f>
        <v>14.3</v>
      </c>
    </row>
    <row r="199" spans="2:14" x14ac:dyDescent="0.25">
      <c r="B199" s="2">
        <v>46039</v>
      </c>
      <c r="C199" s="2" t="str">
        <f>UPPER(TEXT(LANÇAMENTOS[[#This Row],[Data]],"mmm"))</f>
        <v>JAN</v>
      </c>
      <c r="D199" s="2" t="str">
        <f>UPPER(TEXT(LANÇAMENTOS[[#This Row],[Data]],"AAAA"))</f>
        <v>2026</v>
      </c>
      <c r="E199" s="1" t="s">
        <v>139</v>
      </c>
      <c r="F199" s="1" t="s">
        <v>4</v>
      </c>
      <c r="G199" s="1" t="s">
        <v>33</v>
      </c>
      <c r="H199" s="1" t="str">
        <f>LANÇAMENTOS[[#This Row],[Categoria]]&amp;"-"&amp;LANÇAMENTOS[[#This Row],[Descrição]]</f>
        <v>ALIMENTAÇÃO-fatz</v>
      </c>
      <c r="I199" s="1" t="str">
        <f>VLOOKUP(LANÇAMENTOS[[#This Row],[Coluna1]],[1]Planilha2!$K$2:$O$130,4,0)</f>
        <v>Alimentação</v>
      </c>
      <c r="J199" s="1" t="str">
        <f>VLOOKUP(LANÇAMENTOS[[#This Row],[Coluna1]],[1]Planilha2!$K$2:$O$130,5,0)</f>
        <v>Restaurante</v>
      </c>
      <c r="L199" s="14">
        <v>69.3</v>
      </c>
      <c r="N199" s="1">
        <f>IF(ISNUMBER(LANÇAMENTOS[[#This Row],[Receita]]),LANÇAMENTOS[[#This Row],[Receita]],LANÇAMENTOS[[#This Row],[Transferência]])</f>
        <v>69.3</v>
      </c>
    </row>
    <row r="200" spans="2:14" x14ac:dyDescent="0.25">
      <c r="B200" s="2">
        <v>46040</v>
      </c>
      <c r="C200" s="2" t="str">
        <f>UPPER(TEXT(LANÇAMENTOS[[#This Row],[Data]],"mmm"))</f>
        <v>JAN</v>
      </c>
      <c r="D200" s="2" t="str">
        <f>UPPER(TEXT(LANÇAMENTOS[[#This Row],[Data]],"AAAA"))</f>
        <v>2026</v>
      </c>
      <c r="E200" s="1" t="s">
        <v>124</v>
      </c>
      <c r="F200" s="1" t="s">
        <v>4</v>
      </c>
      <c r="G200" s="1" t="s">
        <v>33</v>
      </c>
      <c r="H200" s="1" t="str">
        <f>LANÇAMENTOS[[#This Row],[Categoria]]&amp;"-"&amp;LANÇAMENTOS[[#This Row],[Descrição]]</f>
        <v>ALIMENTAÇÃO-mc donalds</v>
      </c>
      <c r="I200" s="1" t="str">
        <f>VLOOKUP(LANÇAMENTOS[[#This Row],[Coluna1]],[1]Planilha2!$K$2:$O$130,4,0)</f>
        <v>Alimentação</v>
      </c>
      <c r="J200" s="1" t="str">
        <f>VLOOKUP(LANÇAMENTOS[[#This Row],[Coluna1]],[1]Planilha2!$K$2:$O$130,5,0)</f>
        <v>Restaurante</v>
      </c>
      <c r="L200" s="14">
        <v>101.5</v>
      </c>
      <c r="N200" s="1">
        <f>IF(ISNUMBER(LANÇAMENTOS[[#This Row],[Receita]]),LANÇAMENTOS[[#This Row],[Receita]],LANÇAMENTOS[[#This Row],[Transferência]])</f>
        <v>101.5</v>
      </c>
    </row>
    <row r="201" spans="2:14" x14ac:dyDescent="0.25">
      <c r="B201" s="2">
        <v>46040</v>
      </c>
      <c r="C201" s="2" t="str">
        <f>UPPER(TEXT(LANÇAMENTOS[[#This Row],[Data]],"mmm"))</f>
        <v>JAN</v>
      </c>
      <c r="D201" s="2" t="str">
        <f>UPPER(TEXT(LANÇAMENTOS[[#This Row],[Data]],"AAAA"))</f>
        <v>2026</v>
      </c>
      <c r="E201" s="2" t="s">
        <v>34</v>
      </c>
      <c r="F201" s="1" t="s">
        <v>4</v>
      </c>
      <c r="G201" s="1" t="s">
        <v>35</v>
      </c>
      <c r="H201" s="1" t="str">
        <f>LANÇAMENTOS[[#This Row],[Categoria]]&amp;"-"&amp;LANÇAMENTOS[[#This Row],[Descrição]]</f>
        <v>TRANSPORTE-uber</v>
      </c>
      <c r="I201" s="1" t="str">
        <f>VLOOKUP(LANÇAMENTOS[[#This Row],[Coluna1]],[1]Planilha2!$K$2:$O$130,4,0)</f>
        <v>Transporte</v>
      </c>
      <c r="J201" s="1" t="str">
        <f>VLOOKUP(LANÇAMENTOS[[#This Row],[Coluna1]],[1]Planilha2!$K$2:$O$130,5,0)</f>
        <v>Uber/táxi</v>
      </c>
      <c r="L201" s="14">
        <v>81.94</v>
      </c>
      <c r="N201" s="1">
        <f>IF(ISNUMBER(LANÇAMENTOS[[#This Row],[Receita]]),LANÇAMENTOS[[#This Row],[Receita]],LANÇAMENTOS[[#This Row],[Transferência]])</f>
        <v>81.94</v>
      </c>
    </row>
    <row r="202" spans="2:14" x14ac:dyDescent="0.25">
      <c r="B202" s="2">
        <v>46040</v>
      </c>
      <c r="C202" s="2" t="str">
        <f>UPPER(TEXT(LANÇAMENTOS[[#This Row],[Data]],"mmm"))</f>
        <v>JAN</v>
      </c>
      <c r="D202" s="2" t="str">
        <f>UPPER(TEXT(LANÇAMENTOS[[#This Row],[Data]],"AAAA"))</f>
        <v>2026</v>
      </c>
      <c r="E202" s="1" t="s">
        <v>140</v>
      </c>
      <c r="F202" s="1" t="s">
        <v>4</v>
      </c>
      <c r="G202" s="1" t="s">
        <v>27</v>
      </c>
      <c r="H202" s="1" t="str">
        <f>LANÇAMENTOS[[#This Row],[Categoria]]&amp;"-"&amp;LANÇAMENTOS[[#This Row],[Descrição]]</f>
        <v>LAZER-bar leh</v>
      </c>
      <c r="I202" s="1" t="str">
        <f>VLOOKUP(LANÇAMENTOS[[#This Row],[Coluna1]],[1]Planilha2!$K$2:$O$130,4,0)</f>
        <v>Lazer</v>
      </c>
      <c r="J202" s="1" t="str">
        <f>VLOOKUP(LANÇAMENTOS[[#This Row],[Coluna1]],[1]Planilha2!$K$2:$O$130,5,0)</f>
        <v>Bar</v>
      </c>
      <c r="L202" s="14">
        <v>59.89</v>
      </c>
      <c r="N202" s="1">
        <f>IF(ISNUMBER(LANÇAMENTOS[[#This Row],[Receita]]),LANÇAMENTOS[[#This Row],[Receita]],LANÇAMENTOS[[#This Row],[Transferência]])</f>
        <v>59.89</v>
      </c>
    </row>
    <row r="203" spans="2:14" x14ac:dyDescent="0.25">
      <c r="B203" s="2">
        <v>46041</v>
      </c>
      <c r="C203" s="2" t="str">
        <f>UPPER(TEXT(LANÇAMENTOS[[#This Row],[Data]],"mmm"))</f>
        <v>JAN</v>
      </c>
      <c r="D203" s="2" t="str">
        <f>UPPER(TEXT(LANÇAMENTOS[[#This Row],[Data]],"AAAA"))</f>
        <v>2026</v>
      </c>
      <c r="E203" s="1" t="s">
        <v>23</v>
      </c>
      <c r="F203" s="1" t="s">
        <v>4</v>
      </c>
      <c r="G203" s="1" t="s">
        <v>145</v>
      </c>
      <c r="H203" s="1" t="str">
        <f>LANÇAMENTOS[[#This Row],[Categoria]]&amp;"-"&amp;LANÇAMENTOS[[#This Row],[Descrição]]</f>
        <v>CURSO-curso</v>
      </c>
      <c r="I203" s="1" t="str">
        <f>VLOOKUP(LANÇAMENTOS[[#This Row],[Coluna1]],[1]Planilha2!$K$2:$O$130,4,0)</f>
        <v>Desenvolvimento</v>
      </c>
      <c r="J203" s="1" t="str">
        <f>VLOOKUP(LANÇAMENTOS[[#This Row],[Coluna1]],[1]Planilha2!$K$2:$O$130,5,0)</f>
        <v>Cursos</v>
      </c>
      <c r="L203" s="14">
        <v>120</v>
      </c>
      <c r="N203" s="1">
        <f>IF(ISNUMBER(LANÇAMENTOS[[#This Row],[Receita]]),LANÇAMENTOS[[#This Row],[Receita]],LANÇAMENTOS[[#This Row],[Transferência]])</f>
        <v>120</v>
      </c>
    </row>
    <row r="204" spans="2:14" x14ac:dyDescent="0.25">
      <c r="B204" s="2">
        <v>46041</v>
      </c>
      <c r="C204" s="2" t="str">
        <f>UPPER(TEXT(LANÇAMENTOS[[#This Row],[Data]],"mmm"))</f>
        <v>JAN</v>
      </c>
      <c r="D204" s="2" t="str">
        <f>UPPER(TEXT(LANÇAMENTOS[[#This Row],[Data]],"AAAA"))</f>
        <v>2026</v>
      </c>
      <c r="E204" s="1" t="s">
        <v>147</v>
      </c>
      <c r="F204" s="1" t="s">
        <v>20</v>
      </c>
      <c r="G204" s="1" t="s">
        <v>59</v>
      </c>
      <c r="H204" s="1" t="str">
        <f>LANÇAMENTOS[[#This Row],[Categoria]]&amp;"-"&amp;LANÇAMENTOS[[#This Row],[Descrição]]</f>
        <v>INVESTIMENTO-Rent.inv.facil</v>
      </c>
      <c r="I204" s="1" t="str">
        <f>VLOOKUP(LANÇAMENTOS[[#This Row],[Coluna1]],[1]Planilha2!$K$2:$O$130,4,0)</f>
        <v>Investimentos</v>
      </c>
      <c r="J204" s="1" t="str">
        <f>VLOOKUP(LANÇAMENTOS[[#This Row],[Coluna1]],[1]Planilha2!$K$2:$O$130,5,0)</f>
        <v>Rendimentos/Dividendos</v>
      </c>
      <c r="K204" s="14">
        <v>0.02</v>
      </c>
      <c r="N204" s="1">
        <f>IF(ISNUMBER(LANÇAMENTOS[[#This Row],[Receita]]),LANÇAMENTOS[[#This Row],[Receita]],LANÇAMENTOS[[#This Row],[Transferência]])</f>
        <v>0.02</v>
      </c>
    </row>
    <row r="205" spans="2:14" x14ac:dyDescent="0.25">
      <c r="B205" s="2">
        <v>46042</v>
      </c>
      <c r="C205" s="2" t="str">
        <f>UPPER(TEXT(LANÇAMENTOS[[#This Row],[Data]],"mmm"))</f>
        <v>JAN</v>
      </c>
      <c r="D205" s="2" t="str">
        <f>UPPER(TEXT(LANÇAMENTOS[[#This Row],[Data]],"AAAA"))</f>
        <v>2026</v>
      </c>
      <c r="E205" s="1" t="s">
        <v>30</v>
      </c>
      <c r="F205" s="1" t="s">
        <v>4</v>
      </c>
      <c r="G205" s="1" t="s">
        <v>31</v>
      </c>
      <c r="H205" s="1" t="str">
        <f>LANÇAMENTOS[[#This Row],[Categoria]]&amp;"-"&amp;LANÇAMENTOS[[#This Row],[Descrição]]</f>
        <v>CARTÃO-seguro cartão</v>
      </c>
      <c r="I205" s="1" t="str">
        <f>VLOOKUP(LANÇAMENTOS[[#This Row],[Coluna1]],[1]Planilha2!$K$2:$O$130,4,0)</f>
        <v>Cartão</v>
      </c>
      <c r="J205" s="1" t="str">
        <f>VLOOKUP(LANÇAMENTOS[[#This Row],[Coluna1]],[1]Planilha2!$K$2:$O$130,5,0)</f>
        <v>Seguro</v>
      </c>
      <c r="L205" s="14">
        <v>9.99</v>
      </c>
      <c r="N205" s="1">
        <f>IF(ISNUMBER(LANÇAMENTOS[[#This Row],[Receita]]),LANÇAMENTOS[[#This Row],[Receita]],LANÇAMENTOS[[#This Row],[Transferência]])</f>
        <v>9.99</v>
      </c>
    </row>
    <row r="206" spans="2:14" x14ac:dyDescent="0.25">
      <c r="B206" s="2">
        <v>46044</v>
      </c>
      <c r="C206" s="2" t="str">
        <f>UPPER(TEXT(LANÇAMENTOS[[#This Row],[Data]],"mmm"))</f>
        <v>JAN</v>
      </c>
      <c r="D206" s="2" t="str">
        <f>UPPER(TEXT(LANÇAMENTOS[[#This Row],[Data]],"AAAA"))</f>
        <v>2026</v>
      </c>
      <c r="E206" s="1" t="s">
        <v>151</v>
      </c>
      <c r="F206" s="1" t="s">
        <v>4</v>
      </c>
      <c r="G206" s="1" t="s">
        <v>33</v>
      </c>
      <c r="H206" s="1" t="str">
        <f>LANÇAMENTOS[[#This Row],[Categoria]]&amp;"-"&amp;LANÇAMENTOS[[#This Row],[Descrição]]</f>
        <v>ALIMENTAÇÃO-IFD*iFood</v>
      </c>
      <c r="I206" s="1" t="str">
        <f>VLOOKUP(LANÇAMENTOS[[#This Row],[Coluna1]],[1]Planilha2!$K$2:$O$130,4,0)</f>
        <v>Alimentação</v>
      </c>
      <c r="J206" s="1" t="str">
        <f>VLOOKUP(LANÇAMENTOS[[#This Row],[Coluna1]],[1]Planilha2!$K$2:$O$130,5,0)</f>
        <v>Delivery</v>
      </c>
      <c r="L206" s="14">
        <v>170.58</v>
      </c>
      <c r="N206" s="1">
        <f>IF(ISNUMBER(LANÇAMENTOS[[#This Row],[Receita]]),LANÇAMENTOS[[#This Row],[Receita]],LANÇAMENTOS[[#This Row],[Transferência]])</f>
        <v>170.58</v>
      </c>
    </row>
    <row r="207" spans="2:14" x14ac:dyDescent="0.25">
      <c r="B207" s="2">
        <v>46045</v>
      </c>
      <c r="C207" s="2" t="str">
        <f>UPPER(TEXT(LANÇAMENTOS[[#This Row],[Data]],"mmm"))</f>
        <v>JAN</v>
      </c>
      <c r="D207" s="2" t="str">
        <f>UPPER(TEXT(LANÇAMENTOS[[#This Row],[Data]],"AAAA"))</f>
        <v>2026</v>
      </c>
      <c r="E207" s="1" t="s">
        <v>148</v>
      </c>
      <c r="F207" s="1" t="s">
        <v>20</v>
      </c>
      <c r="G207" s="1" t="s">
        <v>59</v>
      </c>
      <c r="H207" s="1" t="str">
        <f>LANÇAMENTOS[[#This Row],[Categoria]]&amp;"-"&amp;LANÇAMENTOS[[#This Row],[Descrição]]</f>
        <v>INVESTIMENTO-Pgto Rend - b3</v>
      </c>
      <c r="I207" s="1" t="str">
        <f>VLOOKUP(LANÇAMENTOS[[#This Row],[Coluna1]],[1]Planilha2!$K$2:$O$130,4,0)</f>
        <v>Investimentos</v>
      </c>
      <c r="J207" s="1" t="str">
        <f>VLOOKUP(LANÇAMENTOS[[#This Row],[Coluna1]],[1]Planilha2!$K$2:$O$130,5,0)</f>
        <v>Rendimentos/Dividendos</v>
      </c>
      <c r="K207" s="14">
        <v>6.44</v>
      </c>
      <c r="N207" s="1">
        <f>IF(ISNUMBER(LANÇAMENTOS[[#This Row],[Receita]]),LANÇAMENTOS[[#This Row],[Receita]],LANÇAMENTOS[[#This Row],[Transferência]])</f>
        <v>6.44</v>
      </c>
    </row>
    <row r="208" spans="2:14" x14ac:dyDescent="0.25">
      <c r="B208" s="2">
        <v>46046</v>
      </c>
      <c r="C208" s="2" t="str">
        <f>UPPER(TEXT(LANÇAMENTOS[[#This Row],[Data]],"mmm"))</f>
        <v>JAN</v>
      </c>
      <c r="D208" s="2" t="str">
        <f>UPPER(TEXT(LANÇAMENTOS[[#This Row],[Data]],"AAAA"))</f>
        <v>2026</v>
      </c>
      <c r="E208" s="1" t="s">
        <v>152</v>
      </c>
      <c r="F208" s="1" t="s">
        <v>4</v>
      </c>
      <c r="G208" s="1" t="s">
        <v>33</v>
      </c>
      <c r="H208" s="1" t="str">
        <f>LANÇAMENTOS[[#This Row],[Categoria]]&amp;"-"&amp;LANÇAMENTOS[[#This Row],[Descrição]]</f>
        <v>ALIMENTAÇÃO-OUTBACK BOURBOUN SP</v>
      </c>
      <c r="I208" s="1" t="str">
        <f>VLOOKUP(LANÇAMENTOS[[#This Row],[Coluna1]],[1]Planilha2!$K$2:$O$130,4,0)</f>
        <v>Alimentação</v>
      </c>
      <c r="J208" s="1" t="str">
        <f>VLOOKUP(LANÇAMENTOS[[#This Row],[Coluna1]],[1]Planilha2!$K$2:$O$130,5,0)</f>
        <v>Restaurante</v>
      </c>
      <c r="L208" s="14">
        <v>95.7</v>
      </c>
      <c r="N208" s="1">
        <f>IF(ISNUMBER(LANÇAMENTOS[[#This Row],[Receita]]),LANÇAMENTOS[[#This Row],[Receita]],LANÇAMENTOS[[#This Row],[Transferência]])</f>
        <v>95.7</v>
      </c>
    </row>
    <row r="209" spans="2:14" x14ac:dyDescent="0.25">
      <c r="B209" s="2">
        <v>46046</v>
      </c>
      <c r="C209" s="2" t="str">
        <f>UPPER(TEXT(LANÇAMENTOS[[#This Row],[Data]],"mmm"))</f>
        <v>JAN</v>
      </c>
      <c r="D209" s="2" t="str">
        <f>UPPER(TEXT(LANÇAMENTOS[[#This Row],[Data]],"AAAA"))</f>
        <v>2026</v>
      </c>
      <c r="E209" s="1" t="s">
        <v>153</v>
      </c>
      <c r="F209" s="1" t="s">
        <v>4</v>
      </c>
      <c r="G209" s="1" t="s">
        <v>27</v>
      </c>
      <c r="H209" s="1" t="str">
        <f>LANÇAMENTOS[[#This Row],[Categoria]]&amp;"-"&amp;LANÇAMENTOS[[#This Row],[Descrição]]</f>
        <v>LAZER-SONDA AGUA BRANCA</v>
      </c>
      <c r="I209" s="1" t="str">
        <f>VLOOKUP(LANÇAMENTOS[[#This Row],[Coluna1]],[1]Planilha2!$K$2:$O$130,4,0)</f>
        <v>Alimentação</v>
      </c>
      <c r="J209" s="1" t="str">
        <f>VLOOKUP(LANÇAMENTOS[[#This Row],[Coluna1]],[1]Planilha2!$K$2:$O$130,5,0)</f>
        <v>Mercado</v>
      </c>
      <c r="L209" s="14">
        <v>501.74</v>
      </c>
      <c r="N209" s="1">
        <f>IF(ISNUMBER(LANÇAMENTOS[[#This Row],[Receita]]),LANÇAMENTOS[[#This Row],[Receita]],LANÇAMENTOS[[#This Row],[Transferência]])</f>
        <v>501.74</v>
      </c>
    </row>
    <row r="210" spans="2:14" x14ac:dyDescent="0.25">
      <c r="B210" s="2">
        <v>46048</v>
      </c>
      <c r="C210" s="2" t="str">
        <f>UPPER(TEXT(LANÇAMENTOS[[#This Row],[Data]],"mmm"))</f>
        <v>JAN</v>
      </c>
      <c r="D210" s="2" t="str">
        <f>UPPER(TEXT(LANÇAMENTOS[[#This Row],[Data]],"AAAA"))</f>
        <v>2026</v>
      </c>
      <c r="E210" s="1" t="s">
        <v>149</v>
      </c>
      <c r="F210" s="1" t="s">
        <v>5</v>
      </c>
      <c r="G210" s="1" t="s">
        <v>28</v>
      </c>
      <c r="H210" s="1" t="str">
        <f>LANÇAMENTOS[[#This Row],[Categoria]]&amp;"-"&amp;LANÇAMENTOS[[#This Row],[Descrição]]</f>
        <v>PIX ROLE-Transfe Pix</v>
      </c>
      <c r="I210" s="1" t="str">
        <f>VLOOKUP(LANÇAMENTOS[[#This Row],[Coluna1]],[1]Planilha2!$K$2:$O$130,4,0)</f>
        <v>Lazer</v>
      </c>
      <c r="J210" s="1" t="str">
        <f>VLOOKUP(LANÇAMENTOS[[#This Row],[Coluna1]],[1]Planilha2!$K$2:$O$130,5,0)</f>
        <v>Role</v>
      </c>
      <c r="K210" s="14">
        <v>71.67</v>
      </c>
      <c r="N210" s="1">
        <f>IF(ISNUMBER(LANÇAMENTOS[[#This Row],[Receita]]),LANÇAMENTOS[[#This Row],[Receita]],LANÇAMENTOS[[#This Row],[Transferência]])</f>
        <v>71.67</v>
      </c>
    </row>
    <row r="211" spans="2:14" x14ac:dyDescent="0.25">
      <c r="B211" s="2">
        <v>46048</v>
      </c>
      <c r="C211" s="2" t="str">
        <f>UPPER(TEXT(LANÇAMENTOS[[#This Row],[Data]],"mmm"))</f>
        <v>JAN</v>
      </c>
      <c r="D211" s="2" t="str">
        <f>UPPER(TEXT(LANÇAMENTOS[[#This Row],[Data]],"AAAA"))</f>
        <v>2026</v>
      </c>
      <c r="E211" s="1" t="s">
        <v>149</v>
      </c>
      <c r="F211" s="1" t="s">
        <v>5</v>
      </c>
      <c r="G211" s="1" t="s">
        <v>28</v>
      </c>
      <c r="H211" s="1" t="str">
        <f>LANÇAMENTOS[[#This Row],[Categoria]]&amp;"-"&amp;LANÇAMENTOS[[#This Row],[Descrição]]</f>
        <v>PIX ROLE-Transfe Pix</v>
      </c>
      <c r="I211" s="1" t="str">
        <f>VLOOKUP(LANÇAMENTOS[[#This Row],[Coluna1]],[1]Planilha2!$K$2:$O$130,4,0)</f>
        <v>Lazer</v>
      </c>
      <c r="J211" s="1" t="str">
        <f>VLOOKUP(LANÇAMENTOS[[#This Row],[Coluna1]],[1]Planilha2!$K$2:$O$130,5,0)</f>
        <v>Role</v>
      </c>
      <c r="K211" s="14">
        <v>72</v>
      </c>
      <c r="N211" s="1">
        <f>IF(ISNUMBER(LANÇAMENTOS[[#This Row],[Receita]]),LANÇAMENTOS[[#This Row],[Receita]],LANÇAMENTOS[[#This Row],[Transferência]])</f>
        <v>72</v>
      </c>
    </row>
    <row r="212" spans="2:14" x14ac:dyDescent="0.25">
      <c r="B212" s="2">
        <v>46048</v>
      </c>
      <c r="C212" s="2" t="str">
        <f>UPPER(TEXT(LANÇAMENTOS[[#This Row],[Data]],"mmm"))</f>
        <v>JAN</v>
      </c>
      <c r="D212" s="2" t="str">
        <f>UPPER(TEXT(LANÇAMENTOS[[#This Row],[Data]],"AAAA"))</f>
        <v>2026</v>
      </c>
      <c r="E212" s="1" t="s">
        <v>149</v>
      </c>
      <c r="F212" s="1" t="s">
        <v>5</v>
      </c>
      <c r="G212" s="1" t="s">
        <v>28</v>
      </c>
      <c r="H212" s="1" t="str">
        <f>LANÇAMENTOS[[#This Row],[Categoria]]&amp;"-"&amp;LANÇAMENTOS[[#This Row],[Descrição]]</f>
        <v>PIX ROLE-Transfe Pix</v>
      </c>
      <c r="I212" s="1" t="str">
        <f>VLOOKUP(LANÇAMENTOS[[#This Row],[Coluna1]],[1]Planilha2!$K$2:$O$130,4,0)</f>
        <v>Lazer</v>
      </c>
      <c r="J212" s="1" t="str">
        <f>VLOOKUP(LANÇAMENTOS[[#This Row],[Coluna1]],[1]Planilha2!$K$2:$O$130,5,0)</f>
        <v>Role</v>
      </c>
      <c r="K212" s="14">
        <v>71.67</v>
      </c>
      <c r="N212" s="1">
        <f>IF(ISNUMBER(LANÇAMENTOS[[#This Row],[Receita]]),LANÇAMENTOS[[#This Row],[Receita]],LANÇAMENTOS[[#This Row],[Transferência]])</f>
        <v>71.67</v>
      </c>
    </row>
    <row r="213" spans="2:14" x14ac:dyDescent="0.25">
      <c r="B213" s="2">
        <v>46048</v>
      </c>
      <c r="C213" s="2" t="str">
        <f>UPPER(TEXT(LANÇAMENTOS[[#This Row],[Data]],"mmm"))</f>
        <v>JAN</v>
      </c>
      <c r="D213" s="2" t="str">
        <f>UPPER(TEXT(LANÇAMENTOS[[#This Row],[Data]],"AAAA"))</f>
        <v>2026</v>
      </c>
      <c r="E213" s="1" t="s">
        <v>149</v>
      </c>
      <c r="F213" s="1" t="s">
        <v>5</v>
      </c>
      <c r="G213" s="1" t="s">
        <v>28</v>
      </c>
      <c r="H213" s="1" t="str">
        <f>LANÇAMENTOS[[#This Row],[Categoria]]&amp;"-"&amp;LANÇAMENTOS[[#This Row],[Descrição]]</f>
        <v>PIX ROLE-Transfe Pix</v>
      </c>
      <c r="I213" s="1" t="str">
        <f>VLOOKUP(LANÇAMENTOS[[#This Row],[Coluna1]],[1]Planilha2!$K$2:$O$130,4,0)</f>
        <v>Lazer</v>
      </c>
      <c r="J213" s="1" t="str">
        <f>VLOOKUP(LANÇAMENTOS[[#This Row],[Coluna1]],[1]Planilha2!$K$2:$O$130,5,0)</f>
        <v>Role</v>
      </c>
      <c r="K213" s="14">
        <v>71.67</v>
      </c>
      <c r="N213" s="1">
        <f>IF(ISNUMBER(LANÇAMENTOS[[#This Row],[Receita]]),LANÇAMENTOS[[#This Row],[Receita]],LANÇAMENTOS[[#This Row],[Transferência]])</f>
        <v>71.67</v>
      </c>
    </row>
    <row r="214" spans="2:14" x14ac:dyDescent="0.25">
      <c r="B214" s="2">
        <v>46051</v>
      </c>
      <c r="C214" s="2" t="str">
        <f>UPPER(TEXT(LANÇAMENTOS[[#This Row],[Data]],"mmm"))</f>
        <v>JAN</v>
      </c>
      <c r="D214" s="2" t="str">
        <f>UPPER(TEXT(LANÇAMENTOS[[#This Row],[Data]],"AAAA"))</f>
        <v>2026</v>
      </c>
      <c r="E214" s="1" t="s">
        <v>18</v>
      </c>
      <c r="F214" s="1" t="s">
        <v>5</v>
      </c>
      <c r="G214" s="1" t="s">
        <v>25</v>
      </c>
      <c r="H214" s="1" t="str">
        <f>LANÇAMENTOS[[#This Row],[Categoria]]&amp;"-"&amp;LANÇAMENTOS[[#This Row],[Descrição]]</f>
        <v>SALÁRIO-Salario clt</v>
      </c>
      <c r="I214" s="1" t="str">
        <f>VLOOKUP(LANÇAMENTOS[[#This Row],[Coluna1]],[1]Planilha2!$K$2:$O$130,4,0)</f>
        <v>Profissional</v>
      </c>
      <c r="J214" s="1" t="str">
        <f>VLOOKUP(LANÇAMENTOS[[#This Row],[Coluna1]],[1]Planilha2!$K$2:$O$130,5,0)</f>
        <v>Salário</v>
      </c>
      <c r="K214" s="14">
        <v>5208.1499999999996</v>
      </c>
      <c r="N214" s="1">
        <f>IF(ISNUMBER(LANÇAMENTOS[[#This Row],[Receita]]),LANÇAMENTOS[[#This Row],[Receita]],LANÇAMENTOS[[#This Row],[Transferência]])</f>
        <v>5208.1499999999996</v>
      </c>
    </row>
    <row r="215" spans="2:14" x14ac:dyDescent="0.25">
      <c r="B215" s="2">
        <v>46051</v>
      </c>
      <c r="C215" s="2" t="str">
        <f>UPPER(TEXT(LANÇAMENTOS[[#This Row],[Data]],"mmm"))</f>
        <v>JAN</v>
      </c>
      <c r="D215" s="2" t="str">
        <f>UPPER(TEXT(LANÇAMENTOS[[#This Row],[Data]],"AAAA"))</f>
        <v>2026</v>
      </c>
      <c r="E215" s="1" t="s">
        <v>19</v>
      </c>
      <c r="F215" s="1" t="s">
        <v>20</v>
      </c>
      <c r="G215" s="1" t="s">
        <v>21</v>
      </c>
      <c r="H215" s="1" t="str">
        <f>LANÇAMENTOS[[#This Row],[Categoria]]&amp;"-"&amp;LANÇAMENTOS[[#This Row],[Descrição]]</f>
        <v>PREV. PRIVADA-prev privada</v>
      </c>
      <c r="I215" s="1" t="str">
        <f>VLOOKUP(LANÇAMENTOS[[#This Row],[Coluna1]],[1]Planilha2!$K$2:$O$130,4,0)</f>
        <v>Investimentos</v>
      </c>
      <c r="J215" s="1" t="str">
        <f>VLOOKUP(LANÇAMENTOS[[#This Row],[Coluna1]],[1]Planilha2!$K$2:$O$130,5,0)</f>
        <v>Previdência Privada</v>
      </c>
      <c r="L215" s="14">
        <v>252</v>
      </c>
      <c r="N215" s="1">
        <f>IF(ISNUMBER(LANÇAMENTOS[[#This Row],[Receita]]),LANÇAMENTOS[[#This Row],[Receita]],LANÇAMENTOS[[#This Row],[Transferência]])</f>
        <v>252</v>
      </c>
    </row>
    <row r="216" spans="2:14" x14ac:dyDescent="0.25">
      <c r="B216" s="2">
        <v>46051</v>
      </c>
      <c r="C216" s="2" t="str">
        <f>UPPER(TEXT(LANÇAMENTOS[[#This Row],[Data]],"mmm"))</f>
        <v>JAN</v>
      </c>
      <c r="D216" s="2" t="str">
        <f>UPPER(TEXT(LANÇAMENTOS[[#This Row],[Data]],"AAAA"))</f>
        <v>2026</v>
      </c>
      <c r="E216" s="1" t="s">
        <v>154</v>
      </c>
      <c r="F216" s="1" t="s">
        <v>4</v>
      </c>
      <c r="G216" s="1" t="s">
        <v>33</v>
      </c>
      <c r="H216" s="1" t="str">
        <f>LANÇAMENTOS[[#This Row],[Categoria]]&amp;"-"&amp;LANÇAMENTOS[[#This Row],[Descrição]]</f>
        <v>ALIMENTAÇÃO-GRAN  COFFEE</v>
      </c>
      <c r="I216" s="1" t="str">
        <f>VLOOKUP(LANÇAMENTOS[[#This Row],[Coluna1]],[1]Planilha2!$K$2:$O$130,4,0)</f>
        <v>Alimentação</v>
      </c>
      <c r="J216" s="1" t="str">
        <f>VLOOKUP(LANÇAMENTOS[[#This Row],[Coluna1]],[1]Planilha2!$K$2:$O$130,5,0)</f>
        <v>Mercadinho</v>
      </c>
      <c r="L216" s="14">
        <v>7.5</v>
      </c>
      <c r="N216" s="1">
        <f>IF(ISNUMBER(LANÇAMENTOS[[#This Row],[Receita]]),LANÇAMENTOS[[#This Row],[Receita]],LANÇAMENTOS[[#This Row],[Transferência]])</f>
        <v>7.5</v>
      </c>
    </row>
    <row r="217" spans="2:14" x14ac:dyDescent="0.25">
      <c r="B217" s="2">
        <v>46052</v>
      </c>
      <c r="C217" s="2" t="str">
        <f>UPPER(TEXT(LANÇAMENTOS[[#This Row],[Data]],"mmm"))</f>
        <v>JAN</v>
      </c>
      <c r="D217" s="2" t="str">
        <f>UPPER(TEXT(LANÇAMENTOS[[#This Row],[Data]],"AAAA"))</f>
        <v>2026</v>
      </c>
      <c r="E217" s="1" t="s">
        <v>63</v>
      </c>
      <c r="F217" s="1" t="s">
        <v>4</v>
      </c>
      <c r="G217" s="1" t="s">
        <v>150</v>
      </c>
      <c r="H217" s="1" t="str">
        <f>LANÇAMENTOS[[#This Row],[Categoria]]&amp;"-"&amp;LANÇAMENTOS[[#This Row],[Descrição]]</f>
        <v>pix role-pix</v>
      </c>
      <c r="I217" s="1" t="str">
        <f>VLOOKUP(LANÇAMENTOS[[#This Row],[Coluna1]],[1]Planilha2!$K$2:$O$130,4,0)</f>
        <v>Lazer</v>
      </c>
      <c r="J217" s="1" t="str">
        <f>VLOOKUP(LANÇAMENTOS[[#This Row],[Coluna1]],[1]Planilha2!$K$2:$O$130,5,0)</f>
        <v>Role</v>
      </c>
      <c r="L217" s="14">
        <v>10</v>
      </c>
      <c r="N217" s="1">
        <f>IF(ISNUMBER(LANÇAMENTOS[[#This Row],[Receita]]),LANÇAMENTOS[[#This Row],[Receita]],LANÇAMENTOS[[#This Row],[Transferência]])</f>
        <v>10</v>
      </c>
    </row>
    <row r="218" spans="2:14" x14ac:dyDescent="0.25">
      <c r="B218" s="2">
        <v>46052</v>
      </c>
      <c r="C218" s="2" t="str">
        <f>UPPER(TEXT(LANÇAMENTOS[[#This Row],[Data]],"mmm"))</f>
        <v>JAN</v>
      </c>
      <c r="D218" s="2" t="str">
        <f>UPPER(TEXT(LANÇAMENTOS[[#This Row],[Data]],"AAAA"))</f>
        <v>2026</v>
      </c>
      <c r="E218" s="1" t="s">
        <v>155</v>
      </c>
      <c r="F218" s="1" t="s">
        <v>4</v>
      </c>
      <c r="G218" s="1" t="s">
        <v>33</v>
      </c>
      <c r="H218" s="1" t="str">
        <f>LANÇAMENTOS[[#This Row],[Categoria]]&amp;"-"&amp;LANÇAMENTOS[[#This Row],[Descrição]]</f>
        <v>ALIMENTAÇÃO-COZINHA 212</v>
      </c>
      <c r="I218" s="1" t="str">
        <f>VLOOKUP(LANÇAMENTOS[[#This Row],[Coluna1]],[1]Planilha2!$K$2:$O$130,4,0)</f>
        <v>Alimentação</v>
      </c>
      <c r="J218" s="1" t="str">
        <f>VLOOKUP(LANÇAMENTOS[[#This Row],[Coluna1]],[1]Planilha2!$K$2:$O$130,5,0)</f>
        <v>Restaurante</v>
      </c>
      <c r="L218" s="14">
        <v>318.49</v>
      </c>
      <c r="N218" s="1">
        <f>IF(ISNUMBER(LANÇAMENTOS[[#This Row],[Receita]]),LANÇAMENTOS[[#This Row],[Receita]],LANÇAMENTOS[[#This Row],[Transferência]])</f>
        <v>318.49</v>
      </c>
    </row>
    <row r="219" spans="2:14" x14ac:dyDescent="0.25">
      <c r="B219" s="2">
        <v>46055</v>
      </c>
      <c r="C219" s="2" t="str">
        <f>UPPER(TEXT(LANÇAMENTOS[[#This Row],[Data]],"mmm"))</f>
        <v>FEV</v>
      </c>
      <c r="D219" s="2" t="str">
        <f>UPPER(TEXT(LANÇAMENTOS[[#This Row],[Data]],"AAAA"))</f>
        <v>2026</v>
      </c>
      <c r="E219" s="1" t="s">
        <v>156</v>
      </c>
      <c r="F219" s="1" t="s">
        <v>4</v>
      </c>
      <c r="G219" s="1" t="s">
        <v>131</v>
      </c>
      <c r="H219" s="1" t="str">
        <f>LANÇAMENTOS[[#This Row],[Categoria]]&amp;"-"&amp;LANÇAMENTOS[[#This Row],[Descrição]]</f>
        <v>ASSINATURA-OPENAI *CHATGPT SUBSCR</v>
      </c>
      <c r="I219" s="1" t="str">
        <f>VLOOKUP(LANÇAMENTOS[[#This Row],[Coluna1]],[1]Planilha2!$K$2:$O$130,4,0)</f>
        <v>Assinatura</v>
      </c>
      <c r="J219" s="1" t="str">
        <f>VLOOKUP(LANÇAMENTOS[[#This Row],[Coluna1]],[1]Planilha2!$K$2:$O$130,5,0)</f>
        <v>IA</v>
      </c>
      <c r="L219" s="14">
        <v>99.9</v>
      </c>
      <c r="N219" s="1">
        <f>IF(ISNUMBER(LANÇAMENTOS[[#This Row],[Receita]]),LANÇAMENTOS[[#This Row],[Receita]],LANÇAMENTOS[[#This Row],[Transferência]])</f>
        <v>99.9</v>
      </c>
    </row>
    <row r="220" spans="2:14" x14ac:dyDescent="0.25">
      <c r="B220" s="2">
        <v>46055</v>
      </c>
      <c r="C220" s="2" t="str">
        <f>UPPER(TEXT(LANÇAMENTOS[[#This Row],[Data]],"mmm"))</f>
        <v>FEV</v>
      </c>
      <c r="D220" s="2" t="str">
        <f>UPPER(TEXT(LANÇAMENTOS[[#This Row],[Data]],"AAAA"))</f>
        <v>2026</v>
      </c>
      <c r="E220" s="1" t="s">
        <v>147</v>
      </c>
      <c r="F220" s="1" t="s">
        <v>20</v>
      </c>
      <c r="G220" s="1" t="s">
        <v>59</v>
      </c>
      <c r="H220" s="1" t="str">
        <f>LANÇAMENTOS[[#This Row],[Categoria]]&amp;"-"&amp;LANÇAMENTOS[[#This Row],[Descrição]]</f>
        <v>INVESTIMENTO-Rent.inv.facil</v>
      </c>
      <c r="I220" s="1" t="str">
        <f>VLOOKUP(LANÇAMENTOS[[#This Row],[Coluna1]],[1]Planilha2!$K$2:$O$130,4,0)</f>
        <v>Investimentos</v>
      </c>
      <c r="J220" s="1" t="str">
        <f>VLOOKUP(LANÇAMENTOS[[#This Row],[Coluna1]],[1]Planilha2!$K$2:$O$130,5,0)</f>
        <v>Rendimentos/Dividendos</v>
      </c>
      <c r="K220" s="14">
        <v>0.55000000000000004</v>
      </c>
      <c r="N220" s="1">
        <f>IF(ISNUMBER(LANÇAMENTOS[[#This Row],[Receita]]),LANÇAMENTOS[[#This Row],[Receita]],LANÇAMENTOS[[#This Row],[Transferência]])</f>
        <v>0.55000000000000004</v>
      </c>
    </row>
    <row r="221" spans="2:14" x14ac:dyDescent="0.25">
      <c r="B221" s="2">
        <v>46056</v>
      </c>
      <c r="C221" s="2" t="str">
        <f>UPPER(TEXT(LANÇAMENTOS[[#This Row],[Data]],"mmm"))</f>
        <v>FEV</v>
      </c>
      <c r="D221" s="2" t="str">
        <f>UPPER(TEXT(LANÇAMENTOS[[#This Row],[Data]],"AAAA"))</f>
        <v>2026</v>
      </c>
      <c r="E221" s="1" t="s">
        <v>157</v>
      </c>
      <c r="F221" s="1" t="s">
        <v>4</v>
      </c>
      <c r="G221" s="1" t="s">
        <v>131</v>
      </c>
      <c r="H221" s="1" t="str">
        <f>LANÇAMENTOS[[#This Row],[Categoria]]&amp;"-"&amp;LANÇAMENTOS[[#This Row],[Descrição]]</f>
        <v>ASSINATURA-KIWIFY *HelpspyAds</v>
      </c>
      <c r="I221" s="1" t="str">
        <f>VLOOKUP(LANÇAMENTOS[[#This Row],[Coluna1]],[1]Planilha2!$K$2:$O$130,4,0)</f>
        <v>Assinatura</v>
      </c>
      <c r="J221" s="1" t="str">
        <f>VLOOKUP(LANÇAMENTOS[[#This Row],[Coluna1]],[1]Planilha2!$K$2:$O$130,5,0)</f>
        <v>Rateio</v>
      </c>
      <c r="L221" s="14">
        <v>80</v>
      </c>
      <c r="N221" s="1">
        <f>IF(ISNUMBER(LANÇAMENTOS[[#This Row],[Receita]]),LANÇAMENTOS[[#This Row],[Receita]],LANÇAMENTOS[[#This Row],[Transferência]])</f>
        <v>80</v>
      </c>
    </row>
    <row r="222" spans="2:14" x14ac:dyDescent="0.25">
      <c r="B222" s="2">
        <v>46056</v>
      </c>
      <c r="C222" s="2" t="str">
        <f>UPPER(TEXT(LANÇAMENTOS[[#This Row],[Data]],"mmm"))</f>
        <v>FEV</v>
      </c>
      <c r="D222" s="2" t="str">
        <f>UPPER(TEXT(LANÇAMENTOS[[#This Row],[Data]],"AAAA"))</f>
        <v>2026</v>
      </c>
      <c r="E222" s="1" t="s">
        <v>158</v>
      </c>
      <c r="F222" s="1" t="s">
        <v>4</v>
      </c>
      <c r="G222" s="1" t="s">
        <v>27</v>
      </c>
      <c r="H222" s="1" t="str">
        <f>LANÇAMENTOS[[#This Row],[Categoria]]&amp;"-"&amp;LANÇAMENTOS[[#This Row],[Descrição]]</f>
        <v>LAZER-IOF S/ TRANS INTER REAIS</v>
      </c>
      <c r="I222" s="1" t="str">
        <f>VLOOKUP(LANÇAMENTOS[[#This Row],[Coluna1]],[1]Planilha2!$K$2:$O$130,4,0)</f>
        <v>Cartão</v>
      </c>
      <c r="J222" s="1" t="str">
        <f>VLOOKUP(LANÇAMENTOS[[#This Row],[Coluna1]],[1]Planilha2!$K$2:$O$130,5,0)</f>
        <v>IOF</v>
      </c>
      <c r="L222" s="14">
        <v>3.5</v>
      </c>
      <c r="N222" s="1">
        <f>IF(ISNUMBER(LANÇAMENTOS[[#This Row],[Receita]]),LANÇAMENTOS[[#This Row],[Receita]],LANÇAMENTOS[[#This Row],[Transferência]])</f>
        <v>3.5</v>
      </c>
    </row>
    <row r="223" spans="2:14" x14ac:dyDescent="0.25">
      <c r="B223" s="2">
        <v>46056</v>
      </c>
      <c r="C223" s="2" t="str">
        <f>UPPER(TEXT(LANÇAMENTOS[[#This Row],[Data]],"mmm"))</f>
        <v>FEV</v>
      </c>
      <c r="D223" s="2" t="str">
        <f>UPPER(TEXT(LANÇAMENTOS[[#This Row],[Data]],"AAAA"))</f>
        <v>2026</v>
      </c>
      <c r="E223" s="1" t="s">
        <v>147</v>
      </c>
      <c r="F223" s="1" t="s">
        <v>20</v>
      </c>
      <c r="G223" s="1" t="s">
        <v>59</v>
      </c>
      <c r="H223" s="1" t="str">
        <f>LANÇAMENTOS[[#This Row],[Categoria]]&amp;"-"&amp;LANÇAMENTOS[[#This Row],[Descrição]]</f>
        <v>INVESTIMENTO-Rent.inv.facil</v>
      </c>
      <c r="I223" s="1" t="str">
        <f>VLOOKUP(LANÇAMENTOS[[#This Row],[Coluna1]],[1]Planilha2!$K$2:$O$130,4,0)</f>
        <v>Investimentos</v>
      </c>
      <c r="J223" s="1" t="str">
        <f>VLOOKUP(LANÇAMENTOS[[#This Row],[Coluna1]],[1]Planilha2!$K$2:$O$130,5,0)</f>
        <v>Rendimentos/Dividendos</v>
      </c>
      <c r="K223" s="14">
        <v>0.01</v>
      </c>
      <c r="N223" s="1">
        <f>IF(ISNUMBER(LANÇAMENTOS[[#This Row],[Receita]]),LANÇAMENTOS[[#This Row],[Receita]],LANÇAMENTOS[[#This Row],[Transferência]])</f>
        <v>0.01</v>
      </c>
    </row>
    <row r="224" spans="2:14" x14ac:dyDescent="0.25">
      <c r="B224" s="2">
        <v>46056</v>
      </c>
      <c r="C224" s="2" t="str">
        <f>UPPER(TEXT(LANÇAMENTOS[[#This Row],[Data]],"mmm"))</f>
        <v>FEV</v>
      </c>
      <c r="D224" s="2" t="str">
        <f>UPPER(TEXT(LANÇAMENTOS[[#This Row],[Data]],"AAAA"))</f>
        <v>2026</v>
      </c>
      <c r="E224" s="1" t="s">
        <v>161</v>
      </c>
      <c r="F224" s="1" t="s">
        <v>4</v>
      </c>
      <c r="G224" s="1" t="s">
        <v>28</v>
      </c>
      <c r="H224" s="1" t="str">
        <f>LANÇAMENTOS[[#This Row],[Categoria]]&amp;"-"&amp;LANÇAMENTOS[[#This Row],[Descrição]]</f>
        <v>PIX ROLE-Cota</v>
      </c>
      <c r="I224" s="1" t="str">
        <f>VLOOKUP(LANÇAMENTOS[[#This Row],[Coluna1]],[1]Planilha2!$K$2:$O$130,4,0)</f>
        <v>Lazer</v>
      </c>
      <c r="J224" s="1" t="str">
        <f>VLOOKUP(LANÇAMENTOS[[#This Row],[Coluna1]],[1]Planilha2!$K$2:$O$130,5,0)</f>
        <v>Role</v>
      </c>
      <c r="L224" s="14">
        <v>710</v>
      </c>
      <c r="N224" s="1">
        <f>IF(ISNUMBER(LANÇAMENTOS[[#This Row],[Receita]]),LANÇAMENTOS[[#This Row],[Receita]],LANÇAMENTOS[[#This Row],[Transferência]])</f>
        <v>710</v>
      </c>
    </row>
    <row r="225" spans="2:14" x14ac:dyDescent="0.25">
      <c r="B225" s="2">
        <v>46057</v>
      </c>
      <c r="C225" s="2" t="str">
        <f>UPPER(TEXT(LANÇAMENTOS[[#This Row],[Data]],"mmm"))</f>
        <v>FEV</v>
      </c>
      <c r="D225" s="2" t="str">
        <f>UPPER(TEXT(LANÇAMENTOS[[#This Row],[Data]],"AAAA"))</f>
        <v>2026</v>
      </c>
      <c r="E225" s="1" t="s">
        <v>159</v>
      </c>
      <c r="F225" s="1" t="s">
        <v>5</v>
      </c>
      <c r="G225" s="1" t="s">
        <v>28</v>
      </c>
      <c r="H225" s="1" t="str">
        <f>LANÇAMENTOS[[#This Row],[Categoria]]&amp;"-"&amp;LANÇAMENTOS[[#This Row],[Descrição]]</f>
        <v>PIX ROLE-Transfe Pix NICO</v>
      </c>
      <c r="I225" s="1" t="str">
        <f>VLOOKUP(LANÇAMENTOS[[#This Row],[Coluna1]],[1]Planilha2!$K$2:$O$130,4,0)</f>
        <v>Lazer</v>
      </c>
      <c r="J225" s="1" t="str">
        <f>VLOOKUP(LANÇAMENTOS[[#This Row],[Coluna1]],[1]Planilha2!$K$2:$O$130,5,0)</f>
        <v>Role</v>
      </c>
      <c r="K225" s="14">
        <v>370</v>
      </c>
      <c r="N225" s="1">
        <f>IF(ISNUMBER(LANÇAMENTOS[[#This Row],[Receita]]),LANÇAMENTOS[[#This Row],[Receita]],LANÇAMENTOS[[#This Row],[Transferência]])</f>
        <v>370</v>
      </c>
    </row>
    <row r="226" spans="2:14" x14ac:dyDescent="0.25">
      <c r="B226" s="2">
        <v>46057</v>
      </c>
      <c r="C226" s="2" t="str">
        <f>UPPER(TEXT(LANÇAMENTOS[[#This Row],[Data]],"mmm"))</f>
        <v>FEV</v>
      </c>
      <c r="D226" s="2" t="str">
        <f>UPPER(TEXT(LANÇAMENTOS[[#This Row],[Data]],"AAAA"))</f>
        <v>2026</v>
      </c>
      <c r="E226" s="1" t="s">
        <v>160</v>
      </c>
      <c r="F226" s="1" t="s">
        <v>5</v>
      </c>
      <c r="G226" s="1" t="s">
        <v>28</v>
      </c>
      <c r="H226" s="1" t="str">
        <f>LANÇAMENTOS[[#This Row],[Categoria]]&amp;"-"&amp;LANÇAMENTOS[[#This Row],[Descrição]]</f>
        <v>PIX ROLE-Transfe Pix Quental</v>
      </c>
      <c r="I226" s="1" t="str">
        <f>VLOOKUP(LANÇAMENTOS[[#This Row],[Coluna1]],[1]Planilha2!$K$2:$O$130,4,0)</f>
        <v>Lazer</v>
      </c>
      <c r="J226" s="1" t="str">
        <f>VLOOKUP(LANÇAMENTOS[[#This Row],[Coluna1]],[1]Planilha2!$K$2:$O$130,5,0)</f>
        <v>Role</v>
      </c>
      <c r="L226" s="14">
        <v>370</v>
      </c>
      <c r="N226" s="1">
        <f>IF(ISNUMBER(LANÇAMENTOS[[#This Row],[Receita]]),LANÇAMENTOS[[#This Row],[Receita]],LANÇAMENTOS[[#This Row],[Transferência]])</f>
        <v>370</v>
      </c>
    </row>
    <row r="227" spans="2:14" x14ac:dyDescent="0.25">
      <c r="B227" s="2">
        <v>46058</v>
      </c>
      <c r="C227" s="2" t="str">
        <f>UPPER(TEXT(LANÇAMENTOS[[#This Row],[Data]],"mmm"))</f>
        <v>FEV</v>
      </c>
      <c r="D227" s="2" t="str">
        <f>UPPER(TEXT(LANÇAMENTOS[[#This Row],[Data]],"AAAA"))</f>
        <v>2026</v>
      </c>
      <c r="E227" s="1" t="s">
        <v>162</v>
      </c>
      <c r="F227" s="1" t="s">
        <v>4</v>
      </c>
      <c r="G227" s="1" t="s">
        <v>46</v>
      </c>
      <c r="H227" s="1" t="str">
        <f>LANÇAMENTOS[[#This Row],[Categoria]]&amp;"-"&amp;LANÇAMENTOS[[#This Row],[Descrição]]</f>
        <v>CUIDADOS PESSOAIS-THE CHAMPS - A BARBEAR</v>
      </c>
      <c r="I227" s="1" t="str">
        <f>VLOOKUP(LANÇAMENTOS[[#This Row],[Coluna1]],[1]Planilha2!$K$2:$O$130,4,0)</f>
        <v>Cuidados Pessoais</v>
      </c>
      <c r="J227" s="1" t="str">
        <f>VLOOKUP(LANÇAMENTOS[[#This Row],[Coluna1]],[1]Planilha2!$K$2:$O$130,5,0)</f>
        <v>Barbearia</v>
      </c>
      <c r="L227" s="14">
        <v>19.989999999999998</v>
      </c>
      <c r="N227" s="1">
        <f>IF(ISNUMBER(LANÇAMENTOS[[#This Row],[Receita]]),LANÇAMENTOS[[#This Row],[Receita]],LANÇAMENTOS[[#This Row],[Transferência]])</f>
        <v>19.989999999999998</v>
      </c>
    </row>
    <row r="228" spans="2:14" x14ac:dyDescent="0.25">
      <c r="B228" s="2">
        <v>46058</v>
      </c>
      <c r="C228" s="2" t="str">
        <f>UPPER(TEXT(LANÇAMENTOS[[#This Row],[Data]],"mmm"))</f>
        <v>FEV</v>
      </c>
      <c r="D228" s="2" t="str">
        <f>UPPER(TEXT(LANÇAMENTOS[[#This Row],[Data]],"AAAA"))</f>
        <v>2026</v>
      </c>
      <c r="E228" s="1" t="s">
        <v>154</v>
      </c>
      <c r="F228" s="1" t="s">
        <v>4</v>
      </c>
      <c r="G228" s="1" t="s">
        <v>33</v>
      </c>
      <c r="H228" s="1" t="str">
        <f>LANÇAMENTOS[[#This Row],[Categoria]]&amp;"-"&amp;LANÇAMENTOS[[#This Row],[Descrição]]</f>
        <v>ALIMENTAÇÃO-GRAN  COFFEE</v>
      </c>
      <c r="I228" s="1" t="str">
        <f>VLOOKUP(LANÇAMENTOS[[#This Row],[Coluna1]],[1]Planilha2!$K$2:$O$130,4,0)</f>
        <v>Alimentação</v>
      </c>
      <c r="J228" s="1" t="str">
        <f>VLOOKUP(LANÇAMENTOS[[#This Row],[Coluna1]],[1]Planilha2!$K$2:$O$130,5,0)</f>
        <v>Mercadinho</v>
      </c>
      <c r="L228" s="14">
        <v>100</v>
      </c>
      <c r="N228" s="1">
        <f>IF(ISNUMBER(LANÇAMENTOS[[#This Row],[Receita]]),LANÇAMENTOS[[#This Row],[Receita]],LANÇAMENTOS[[#This Row],[Transferência]])</f>
        <v>100</v>
      </c>
    </row>
    <row r="229" spans="2:14" x14ac:dyDescent="0.25">
      <c r="B229" s="2">
        <v>46059</v>
      </c>
      <c r="C229" s="2" t="str">
        <f>UPPER(TEXT(LANÇAMENTOS[[#This Row],[Data]],"mmm"))</f>
        <v>FEV</v>
      </c>
      <c r="D229" s="2" t="str">
        <f>UPPER(TEXT(LANÇAMENTOS[[#This Row],[Data]],"AAAA"))</f>
        <v>2026</v>
      </c>
      <c r="E229" s="1" t="s">
        <v>148</v>
      </c>
      <c r="F229" s="1" t="s">
        <v>20</v>
      </c>
      <c r="G229" s="1" t="s">
        <v>59</v>
      </c>
      <c r="H229" s="1" t="str">
        <f>LANÇAMENTOS[[#This Row],[Categoria]]&amp;"-"&amp;LANÇAMENTOS[[#This Row],[Descrição]]</f>
        <v>INVESTIMENTO-Pgto Rend - b3</v>
      </c>
      <c r="I229" s="1" t="str">
        <f>VLOOKUP(LANÇAMENTOS[[#This Row],[Coluna1]],[1]Planilha2!$K$2:$O$130,4,0)</f>
        <v>Investimentos</v>
      </c>
      <c r="J229" s="1" t="str">
        <f>VLOOKUP(LANÇAMENTOS[[#This Row],[Coluna1]],[1]Planilha2!$K$2:$O$130,5,0)</f>
        <v>Rendimentos/Dividendos</v>
      </c>
      <c r="K229" s="14">
        <v>4.05</v>
      </c>
      <c r="N229" s="1">
        <f>IF(ISNUMBER(LANÇAMENTOS[[#This Row],[Receita]]),LANÇAMENTOS[[#This Row],[Receita]],LANÇAMENTOS[[#This Row],[Transferência]])</f>
        <v>4.05</v>
      </c>
    </row>
    <row r="230" spans="2:14" x14ac:dyDescent="0.25">
      <c r="B230" s="2">
        <v>46059</v>
      </c>
      <c r="C230" s="2" t="str">
        <f>UPPER(TEXT(LANÇAMENTOS[[#This Row],[Data]],"mmm"))</f>
        <v>FEV</v>
      </c>
      <c r="D230" s="2" t="str">
        <f>UPPER(TEXT(LANÇAMENTOS[[#This Row],[Data]],"AAAA"))</f>
        <v>2026</v>
      </c>
      <c r="E230" s="1" t="s">
        <v>147</v>
      </c>
      <c r="F230" s="1" t="s">
        <v>20</v>
      </c>
      <c r="G230" s="1" t="s">
        <v>59</v>
      </c>
      <c r="H230" s="1" t="str">
        <f>LANÇAMENTOS[[#This Row],[Categoria]]&amp;"-"&amp;LANÇAMENTOS[[#This Row],[Descrição]]</f>
        <v>INVESTIMENTO-Rent.inv.facil</v>
      </c>
      <c r="I230" s="1" t="str">
        <f>VLOOKUP(LANÇAMENTOS[[#This Row],[Coluna1]],[1]Planilha2!$K$2:$O$130,4,0)</f>
        <v>Investimentos</v>
      </c>
      <c r="J230" s="1" t="str">
        <f>VLOOKUP(LANÇAMENTOS[[#This Row],[Coluna1]],[1]Planilha2!$K$2:$O$130,5,0)</f>
        <v>Rendimentos/Dividendos</v>
      </c>
      <c r="K230" s="14">
        <v>0.01</v>
      </c>
      <c r="N230" s="1">
        <f>IF(ISNUMBER(LANÇAMENTOS[[#This Row],[Receita]]),LANÇAMENTOS[[#This Row],[Receita]],LANÇAMENTOS[[#This Row],[Transferência]])</f>
        <v>0.01</v>
      </c>
    </row>
    <row r="231" spans="2:14" x14ac:dyDescent="0.25">
      <c r="B231" s="2">
        <v>46059</v>
      </c>
      <c r="C231" s="2" t="str">
        <f>UPPER(TEXT(LANÇAMENTOS[[#This Row],[Data]],"mmm"))</f>
        <v>FEV</v>
      </c>
      <c r="D231" s="2" t="str">
        <f>UPPER(TEXT(LANÇAMENTOS[[#This Row],[Data]],"AAAA"))</f>
        <v>2026</v>
      </c>
      <c r="E231" s="1" t="s">
        <v>163</v>
      </c>
      <c r="F231" s="1" t="s">
        <v>4</v>
      </c>
      <c r="G231" s="1" t="s">
        <v>27</v>
      </c>
      <c r="H231" s="1" t="str">
        <f>LANÇAMENTOS[[#This Row],[Categoria]]&amp;"-"&amp;LANÇAMENTOS[[#This Row],[Descrição]]</f>
        <v>LAZER-D-EDGE FESTIVAL</v>
      </c>
      <c r="I231" s="1" t="str">
        <f>VLOOKUP(LANÇAMENTOS[[#This Row],[Coluna1]],[1]Planilha2!$K$2:$O$130,4,0)</f>
        <v>Lazer</v>
      </c>
      <c r="J231" s="1" t="str">
        <f>VLOOKUP(LANÇAMENTOS[[#This Row],[Coluna1]],[1]Planilha2!$K$2:$O$130,5,0)</f>
        <v>Show</v>
      </c>
      <c r="L231" s="14">
        <v>250</v>
      </c>
      <c r="N231" s="1">
        <f>IF(ISNUMBER(LANÇAMENTOS[[#This Row],[Receita]]),LANÇAMENTOS[[#This Row],[Receita]],LANÇAMENTOS[[#This Row],[Transferência]])</f>
        <v>250</v>
      </c>
    </row>
    <row r="232" spans="2:14" x14ac:dyDescent="0.25">
      <c r="B232" s="2">
        <v>46059</v>
      </c>
      <c r="C232" s="2" t="str">
        <f>UPPER(TEXT(LANÇAMENTOS[[#This Row],[Data]],"mmm"))</f>
        <v>FEV</v>
      </c>
      <c r="D232" s="2" t="str">
        <f>UPPER(TEXT(LANÇAMENTOS[[#This Row],[Data]],"AAAA"))</f>
        <v>2026</v>
      </c>
      <c r="E232" s="1" t="s">
        <v>150</v>
      </c>
      <c r="F232" s="1" t="s">
        <v>4</v>
      </c>
      <c r="G232" s="1" t="s">
        <v>27</v>
      </c>
      <c r="H232" s="1" t="str">
        <f>LANÇAMENTOS[[#This Row],[Categoria]]&amp;"-"&amp;LANÇAMENTOS[[#This Row],[Descrição]]</f>
        <v>LAZER-pix role</v>
      </c>
      <c r="I232" s="1" t="str">
        <f>VLOOKUP(LANÇAMENTOS[[#This Row],[Coluna1]],[1]Planilha2!$K$2:$O$130,4,0)</f>
        <v>Lazer</v>
      </c>
      <c r="J232" s="1" t="str">
        <f>VLOOKUP(LANÇAMENTOS[[#This Row],[Coluna1]],[1]Planilha2!$K$2:$O$130,5,0)</f>
        <v>Pix</v>
      </c>
      <c r="L232" s="14">
        <v>60</v>
      </c>
      <c r="N232" s="1">
        <f>IF(ISNUMBER(LANÇAMENTOS[[#This Row],[Receita]]),LANÇAMENTOS[[#This Row],[Receita]],LANÇAMENTOS[[#This Row],[Transferência]])</f>
        <v>60</v>
      </c>
    </row>
    <row r="233" spans="2:14" x14ac:dyDescent="0.25">
      <c r="B233" s="2">
        <v>46060</v>
      </c>
      <c r="C233" s="2" t="str">
        <f>UPPER(TEXT(LANÇAMENTOS[[#This Row],[Data]],"mmm"))</f>
        <v>FEV</v>
      </c>
      <c r="D233" s="2" t="str">
        <f>UPPER(TEXT(LANÇAMENTOS[[#This Row],[Data]],"AAAA"))</f>
        <v>2026</v>
      </c>
      <c r="E233" s="1" t="s">
        <v>164</v>
      </c>
      <c r="F233" s="1" t="s">
        <v>4</v>
      </c>
      <c r="G233" s="1" t="s">
        <v>33</v>
      </c>
      <c r="H233" s="1" t="str">
        <f>LANÇAMENTOS[[#This Row],[Categoria]]&amp;"-"&amp;LANÇAMENTOS[[#This Row],[Descrição]]</f>
        <v>ALIMENTAÇÃO-benihana</v>
      </c>
      <c r="I233" s="1" t="str">
        <f>VLOOKUP(LANÇAMENTOS[[#This Row],[Coluna1]],[1]Planilha2!$K$2:$O$130,4,0)</f>
        <v>Alimentação</v>
      </c>
      <c r="J233" s="1" t="str">
        <f>VLOOKUP(LANÇAMENTOS[[#This Row],[Coluna1]],[1]Planilha2!$K$2:$O$130,5,0)</f>
        <v>Restaurante</v>
      </c>
      <c r="L233" s="14">
        <v>277.33999999999997</v>
      </c>
      <c r="N233" s="1">
        <f>IF(ISNUMBER(LANÇAMENTOS[[#This Row],[Receita]]),LANÇAMENTOS[[#This Row],[Receita]],LANÇAMENTOS[[#This Row],[Transferência]])</f>
        <v>277.33999999999997</v>
      </c>
    </row>
    <row r="234" spans="2:14" x14ac:dyDescent="0.25">
      <c r="B234" s="2">
        <v>46060</v>
      </c>
      <c r="C234" s="2" t="str">
        <f>UPPER(TEXT(LANÇAMENTOS[[#This Row],[Data]],"mmm"))</f>
        <v>FEV</v>
      </c>
      <c r="D234" s="2" t="str">
        <f>UPPER(TEXT(LANÇAMENTOS[[#This Row],[Data]],"AAAA"))</f>
        <v>2026</v>
      </c>
      <c r="E234" s="1" t="s">
        <v>34</v>
      </c>
      <c r="F234" s="1" t="s">
        <v>4</v>
      </c>
      <c r="G234" s="1" t="s">
        <v>35</v>
      </c>
      <c r="H234" s="1" t="str">
        <f>LANÇAMENTOS[[#This Row],[Categoria]]&amp;"-"&amp;LANÇAMENTOS[[#This Row],[Descrição]]</f>
        <v>TRANSPORTE-uber</v>
      </c>
      <c r="I234" s="1" t="str">
        <f>VLOOKUP(LANÇAMENTOS[[#This Row],[Coluna1]],[1]Planilha2!$K$2:$O$130,4,0)</f>
        <v>Transporte</v>
      </c>
      <c r="J234" s="1" t="str">
        <f>VLOOKUP(LANÇAMENTOS[[#This Row],[Coluna1]],[1]Planilha2!$K$2:$O$130,5,0)</f>
        <v>Uber/táxi</v>
      </c>
      <c r="L234" s="14">
        <v>74.94</v>
      </c>
      <c r="N234" s="1">
        <f>IF(ISNUMBER(LANÇAMENTOS[[#This Row],[Receita]]),LANÇAMENTOS[[#This Row],[Receita]],LANÇAMENTOS[[#This Row],[Transferência]])</f>
        <v>74.94</v>
      </c>
    </row>
    <row r="235" spans="2:14" x14ac:dyDescent="0.25">
      <c r="B235" s="2">
        <v>46062</v>
      </c>
      <c r="C235" s="2" t="str">
        <f>UPPER(TEXT(LANÇAMENTOS[[#This Row],[Data]],"mmm"))</f>
        <v>FEV</v>
      </c>
      <c r="D235" s="2" t="str">
        <f>UPPER(TEXT(LANÇAMENTOS[[#This Row],[Data]],"AAAA"))</f>
        <v>2026</v>
      </c>
      <c r="E235" s="1" t="s">
        <v>165</v>
      </c>
      <c r="F235" s="1" t="s">
        <v>5</v>
      </c>
      <c r="G235" s="1" t="s">
        <v>165</v>
      </c>
      <c r="H235" s="1" t="str">
        <f>LANÇAMENTOS[[#This Row],[Categoria]]&amp;"-"&amp;LANÇAMENTOS[[#This Row],[Descrição]]</f>
        <v>VA-VA</v>
      </c>
      <c r="I235" s="1" t="str">
        <f>VLOOKUP(LANÇAMENTOS[[#This Row],[Coluna1]],[1]Planilha2!$K$2:$O$130,4,0)</f>
        <v>Profissional</v>
      </c>
      <c r="J235" s="1" t="str">
        <f>VLOOKUP(LANÇAMENTOS[[#This Row],[Coluna1]],[1]Planilha2!$K$2:$O$130,5,0)</f>
        <v>VA</v>
      </c>
      <c r="K235" s="14">
        <v>924</v>
      </c>
      <c r="N235" s="1">
        <f>IF(ISNUMBER(LANÇAMENTOS[[#This Row],[Receita]]),LANÇAMENTOS[[#This Row],[Receita]],LANÇAMENTOS[[#This Row],[Transferência]])</f>
        <v>924</v>
      </c>
    </row>
    <row r="236" spans="2:14" x14ac:dyDescent="0.25">
      <c r="B236" s="2">
        <v>46062</v>
      </c>
      <c r="C236" s="2" t="str">
        <f>UPPER(TEXT(LANÇAMENTOS[[#This Row],[Data]],"mmm"))</f>
        <v>FEV</v>
      </c>
      <c r="D236" s="2" t="str">
        <f>UPPER(TEXT(LANÇAMENTOS[[#This Row],[Data]],"AAAA"))</f>
        <v>2026</v>
      </c>
      <c r="E236" s="1" t="s">
        <v>166</v>
      </c>
      <c r="F236" s="1" t="s">
        <v>4</v>
      </c>
      <c r="G236" s="1" t="s">
        <v>27</v>
      </c>
      <c r="H236" s="1" t="str">
        <f>LANÇAMENTOS[[#This Row],[Categoria]]&amp;"-"&amp;LANÇAMENTOS[[#This Row],[Descrição]]</f>
        <v>LAZER-TROFEU CERVEGAMES</v>
      </c>
      <c r="I236" s="1" t="str">
        <f>VLOOKUP(LANÇAMENTOS[[#This Row],[Coluna1]],[1]Planilha2!$K$2:$O$130,4,0)</f>
        <v>Lazer</v>
      </c>
      <c r="J236" s="1" t="str">
        <f>VLOOKUP(LANÇAMENTOS[[#This Row],[Coluna1]],[1]Planilha2!$K$2:$O$130,5,0)</f>
        <v>Acessórios Diversos</v>
      </c>
      <c r="L236" s="14">
        <v>59.3</v>
      </c>
      <c r="N236" s="1">
        <f>IF(ISNUMBER(LANÇAMENTOS[[#This Row],[Receita]]),LANÇAMENTOS[[#This Row],[Receita]],LANÇAMENTOS[[#This Row],[Transferência]])</f>
        <v>59.3</v>
      </c>
    </row>
    <row r="237" spans="2:14" x14ac:dyDescent="0.25">
      <c r="B237" s="2">
        <v>46063</v>
      </c>
      <c r="C237" s="2" t="str">
        <f>UPPER(TEXT(LANÇAMENTOS[[#This Row],[Data]],"mmm"))</f>
        <v>FEV</v>
      </c>
      <c r="D237" s="2" t="str">
        <f>UPPER(TEXT(LANÇAMENTOS[[#This Row],[Data]],"AAAA"))</f>
        <v>2026</v>
      </c>
      <c r="E237" s="1" t="s">
        <v>147</v>
      </c>
      <c r="F237" s="1" t="s">
        <v>20</v>
      </c>
      <c r="G237" s="1" t="s">
        <v>59</v>
      </c>
      <c r="H237" s="1" t="str">
        <f>LANÇAMENTOS[[#This Row],[Categoria]]&amp;"-"&amp;LANÇAMENTOS[[#This Row],[Descrição]]</f>
        <v>INVESTIMENTO-Rent.inv.facil</v>
      </c>
      <c r="I237" s="1" t="str">
        <f>VLOOKUP(LANÇAMENTOS[[#This Row],[Coluna1]],[1]Planilha2!$K$2:$O$130,4,0)</f>
        <v>Investimentos</v>
      </c>
      <c r="J237" s="1" t="str">
        <f>VLOOKUP(LANÇAMENTOS[[#This Row],[Coluna1]],[1]Planilha2!$K$2:$O$130,5,0)</f>
        <v>Rendimentos/Dividendos</v>
      </c>
      <c r="K237" s="14">
        <v>0.17</v>
      </c>
      <c r="N237" s="1">
        <f>IF(ISNUMBER(LANÇAMENTOS[[#This Row],[Receita]]),LANÇAMENTOS[[#This Row],[Receita]],LANÇAMENTOS[[#This Row],[Transferência]])</f>
        <v>0.17</v>
      </c>
    </row>
    <row r="238" spans="2:14" x14ac:dyDescent="0.25">
      <c r="B238" s="2">
        <v>46063</v>
      </c>
      <c r="C238" s="2" t="str">
        <f>UPPER(TEXT(LANÇAMENTOS[[#This Row],[Data]],"mmm"))</f>
        <v>FEV</v>
      </c>
      <c r="D238" s="2" t="str">
        <f>UPPER(TEXT(LANÇAMENTOS[[#This Row],[Data]],"AAAA"))</f>
        <v>2026</v>
      </c>
      <c r="E238" s="1" t="s">
        <v>55</v>
      </c>
      <c r="F238" s="1" t="s">
        <v>20</v>
      </c>
      <c r="G238" s="1" t="s">
        <v>56</v>
      </c>
      <c r="H238" s="1" t="str">
        <f>LANÇAMENTOS[[#This Row],[Categoria]]&amp;"-"&amp;LANÇAMENTOS[[#This Row],[Descrição]]</f>
        <v>APARTAMENTO-Apartamento</v>
      </c>
      <c r="I238" s="1" t="str">
        <f>VLOOKUP(LANÇAMENTOS[[#This Row],[Coluna1]],[1]Planilha2!$K$2:$O$130,4,0)</f>
        <v>Moradia</v>
      </c>
      <c r="J238" s="1" t="str">
        <f>VLOOKUP(LANÇAMENTOS[[#This Row],[Coluna1]],[1]Planilha2!$K$2:$O$130,5,0)</f>
        <v>Parcela apto</v>
      </c>
      <c r="L238" s="14">
        <v>2355.2399999999998</v>
      </c>
      <c r="N238" s="1">
        <f>IF(ISNUMBER(LANÇAMENTOS[[#This Row],[Receita]]),LANÇAMENTOS[[#This Row],[Receita]],LANÇAMENTOS[[#This Row],[Transferência]])</f>
        <v>2355.2399999999998</v>
      </c>
    </row>
    <row r="239" spans="2:14" s="19" customFormat="1" x14ac:dyDescent="0.25">
      <c r="B239" s="18">
        <v>46063</v>
      </c>
      <c r="C239" s="18" t="str">
        <f>UPPER(TEXT(LANÇAMENTOS[[#This Row],[Data]],"mmm"))</f>
        <v>FEV</v>
      </c>
      <c r="D239" s="18" t="str">
        <f>UPPER(TEXT(LANÇAMENTOS[[#This Row],[Data]],"AAAA"))</f>
        <v>2026</v>
      </c>
      <c r="E239" s="19" t="s">
        <v>167</v>
      </c>
      <c r="F239" s="19" t="s">
        <v>4</v>
      </c>
      <c r="G239" s="19" t="s">
        <v>31</v>
      </c>
      <c r="H239" s="19" t="str">
        <f>LANÇAMENTOS[[#This Row],[Categoria]]&amp;"-"&amp;LANÇAMENTOS[[#This Row],[Descrição]]</f>
        <v>CARTÃO-Gasto c Credito</v>
      </c>
      <c r="I239" s="19" t="str">
        <f>VLOOKUP(LANÇAMENTOS[[#This Row],[Coluna1]],[1]Planilha2!$K$2:$O$130,4,0)</f>
        <v>Cartão</v>
      </c>
      <c r="J239" s="19" t="str">
        <f>VLOOKUP(LANÇAMENTOS[[#This Row],[Coluna1]],[1]Planilha2!$K$2:$O$130,5,0)</f>
        <v>-</v>
      </c>
      <c r="K239" s="20"/>
      <c r="L239" s="20">
        <v>89.99</v>
      </c>
      <c r="N239" s="1">
        <f>IF(ISNUMBER(LANÇAMENTOS[[#This Row],[Receita]]),LANÇAMENTOS[[#This Row],[Receita]],LANÇAMENTOS[[#This Row],[Transferência]])</f>
        <v>89.99</v>
      </c>
    </row>
    <row r="240" spans="2:14" x14ac:dyDescent="0.25">
      <c r="B240" s="2">
        <v>46064</v>
      </c>
      <c r="C240" s="2" t="str">
        <f>UPPER(TEXT(LANÇAMENTOS[[#This Row],[Data]],"mmm"))</f>
        <v>FEV</v>
      </c>
      <c r="D240" s="2" t="str">
        <f>UPPER(TEXT(LANÇAMENTOS[[#This Row],[Data]],"AAAA"))</f>
        <v>2026</v>
      </c>
      <c r="E240" s="1" t="s">
        <v>147</v>
      </c>
      <c r="F240" s="1" t="s">
        <v>20</v>
      </c>
      <c r="G240" s="1" t="s">
        <v>59</v>
      </c>
      <c r="H240" s="1" t="str">
        <f>LANÇAMENTOS[[#This Row],[Categoria]]&amp;"-"&amp;LANÇAMENTOS[[#This Row],[Descrição]]</f>
        <v>INVESTIMENTO-Rent.inv.facil</v>
      </c>
      <c r="I240" s="1" t="str">
        <f>VLOOKUP(LANÇAMENTOS[[#This Row],[Coluna1]],[1]Planilha2!$K$2:$O$130,4,0)</f>
        <v>Investimentos</v>
      </c>
      <c r="J240" s="1" t="str">
        <f>VLOOKUP(LANÇAMENTOS[[#This Row],[Coluna1]],[1]Planilha2!$K$2:$O$130,5,0)</f>
        <v>Rendimentos/Dividendos</v>
      </c>
      <c r="K240" s="14">
        <v>0.01</v>
      </c>
      <c r="N240" s="1">
        <f>IF(ISNUMBER(LANÇAMENTOS[[#This Row],[Receita]]),LANÇAMENTOS[[#This Row],[Receita]],LANÇAMENTOS[[#This Row],[Transferência]])</f>
        <v>0.01</v>
      </c>
    </row>
    <row r="241" spans="2:14" x14ac:dyDescent="0.25">
      <c r="B241" s="2">
        <v>46064</v>
      </c>
      <c r="C241" s="2" t="str">
        <f>UPPER(TEXT(LANÇAMENTOS[[#This Row],[Data]],"mmm"))</f>
        <v>FEV</v>
      </c>
      <c r="D241" s="2" t="str">
        <f>UPPER(TEXT(LANÇAMENTOS[[#This Row],[Data]],"AAAA"))</f>
        <v>2026</v>
      </c>
      <c r="E241" s="1" t="s">
        <v>168</v>
      </c>
      <c r="F241" s="1" t="s">
        <v>20</v>
      </c>
      <c r="G241" s="1" t="s">
        <v>59</v>
      </c>
      <c r="H241" s="1" t="str">
        <f>LANÇAMENTOS[[#This Row],[Categoria]]&amp;"-"&amp;LANÇAMENTOS[[#This Row],[Descrição]]</f>
        <v>INVESTIMENTO-Aplicacao Cdb</v>
      </c>
      <c r="I241" s="1" t="str">
        <f>VLOOKUP(LANÇAMENTOS[[#This Row],[Coluna1]],[1]Planilha2!$K$2:$O$130,4,0)</f>
        <v>Investimentos</v>
      </c>
      <c r="J241" s="1" t="str">
        <f>VLOOKUP(LANÇAMENTOS[[#This Row],[Coluna1]],[1]Planilha2!$K$2:$O$130,5,0)</f>
        <v>Renda Fixa</v>
      </c>
      <c r="L241" s="14">
        <v>500</v>
      </c>
      <c r="N241" s="1">
        <f>IF(ISNUMBER(LANÇAMENTOS[[#This Row],[Receita]]),LANÇAMENTOS[[#This Row],[Receita]],LANÇAMENTOS[[#This Row],[Transferência]])</f>
        <v>500</v>
      </c>
    </row>
    <row r="242" spans="2:14" x14ac:dyDescent="0.25">
      <c r="B242" s="2">
        <v>46065</v>
      </c>
      <c r="C242" s="2" t="str">
        <f>UPPER(TEXT(LANÇAMENTOS[[#This Row],[Data]],"mmm"))</f>
        <v>FEV</v>
      </c>
      <c r="D242" s="2" t="str">
        <f>UPPER(TEXT(LANÇAMENTOS[[#This Row],[Data]],"AAAA"))</f>
        <v>2026</v>
      </c>
      <c r="E242" s="1" t="s">
        <v>169</v>
      </c>
      <c r="F242" s="1" t="s">
        <v>4</v>
      </c>
      <c r="G242" s="1" t="s">
        <v>27</v>
      </c>
      <c r="H242" s="1" t="str">
        <f>LANÇAMENTOS[[#This Row],[Categoria]]&amp;"-"&amp;LANÇAMENTOS[[#This Row],[Descrição]]</f>
        <v>LAZER-adesivo cervegames</v>
      </c>
      <c r="I242" s="1" t="str">
        <f>VLOOKUP(LANÇAMENTOS[[#This Row],[Coluna1]],[1]Planilha2!$K$2:$O$130,4,0)</f>
        <v>Lazer</v>
      </c>
      <c r="J242" s="1" t="str">
        <f>VLOOKUP(LANÇAMENTOS[[#This Row],[Coluna1]],[1]Planilha2!$K$2:$O$130,5,0)</f>
        <v>Acessórios Diversos</v>
      </c>
      <c r="L242" s="14">
        <v>31.5</v>
      </c>
      <c r="N242" s="1">
        <f>IF(ISNUMBER(LANÇAMENTOS[[#This Row],[Receita]]),LANÇAMENTOS[[#This Row],[Receita]],LANÇAMENTOS[[#This Row],[Transferência]])</f>
        <v>31.5</v>
      </c>
    </row>
    <row r="243" spans="2:14" x14ac:dyDescent="0.25">
      <c r="B243" s="2">
        <v>46065</v>
      </c>
      <c r="C243" s="2" t="str">
        <f>UPPER(TEXT(LANÇAMENTOS[[#This Row],[Data]],"mmm"))</f>
        <v>FEV</v>
      </c>
      <c r="D243" s="2" t="str">
        <f>UPPER(TEXT(LANÇAMENTOS[[#This Row],[Data]],"AAAA"))</f>
        <v>2026</v>
      </c>
      <c r="E243" s="1" t="s">
        <v>170</v>
      </c>
      <c r="F243" s="1" t="s">
        <v>4</v>
      </c>
      <c r="G243" s="1" t="s">
        <v>46</v>
      </c>
      <c r="H243" s="1" t="str">
        <f>LANÇAMENTOS[[#This Row],[Categoria]]&amp;"-"&amp;LANÇAMENTOS[[#This Row],[Descrição]]</f>
        <v>CUIDADOS PESSOAIS-CAPINHA CELULAR</v>
      </c>
      <c r="I243" s="1" t="str">
        <f>VLOOKUP(LANÇAMENTOS[[#This Row],[Coluna1]],[1]Planilha2!$K$2:$O$130,4,0)</f>
        <v>Vestuário &amp; Acessórios</v>
      </c>
      <c r="J243" s="1" t="str">
        <f>VLOOKUP(LANÇAMENTOS[[#This Row],[Coluna1]],[1]Planilha2!$K$2:$O$130,5,0)</f>
        <v>Acessórios</v>
      </c>
      <c r="L243" s="14">
        <v>19.989999999999998</v>
      </c>
      <c r="N243" s="1">
        <f>IF(ISNUMBER(LANÇAMENTOS[[#This Row],[Receita]]),LANÇAMENTOS[[#This Row],[Receita]],LANÇAMENTOS[[#This Row],[Transferência]])</f>
        <v>19.989999999999998</v>
      </c>
    </row>
    <row r="244" spans="2:14" x14ac:dyDescent="0.25">
      <c r="B244" s="2">
        <v>46066</v>
      </c>
      <c r="C244" s="2" t="str">
        <f>UPPER(TEXT(LANÇAMENTOS[[#This Row],[Data]],"mmm"))</f>
        <v>FEV</v>
      </c>
      <c r="D244" s="2" t="str">
        <f>UPPER(TEXT(LANÇAMENTOS[[#This Row],[Data]],"AAAA"))</f>
        <v>2026</v>
      </c>
      <c r="E244" s="1" t="s">
        <v>30</v>
      </c>
      <c r="F244" s="1" t="s">
        <v>4</v>
      </c>
      <c r="G244" s="1" t="s">
        <v>31</v>
      </c>
      <c r="H244" s="1" t="str">
        <f>LANÇAMENTOS[[#This Row],[Categoria]]&amp;"-"&amp;LANÇAMENTOS[[#This Row],[Descrição]]</f>
        <v>CARTÃO-seguro cartão</v>
      </c>
      <c r="I244" s="1" t="str">
        <f>VLOOKUP(LANÇAMENTOS[[#This Row],[Coluna1]],[1]Planilha2!$K$2:$O$130,4,0)</f>
        <v>Cartão</v>
      </c>
      <c r="J244" s="1" t="str">
        <f>VLOOKUP(LANÇAMENTOS[[#This Row],[Coluna1]],[1]Planilha2!$K$2:$O$130,5,0)</f>
        <v>Seguro</v>
      </c>
      <c r="L244" s="14">
        <v>9.99</v>
      </c>
      <c r="N244" s="1">
        <f>IF(ISNUMBER(LANÇAMENTOS[[#This Row],[Receita]]),LANÇAMENTOS[[#This Row],[Receita]],LANÇAMENTOS[[#This Row],[Transferência]])</f>
        <v>9.99</v>
      </c>
    </row>
    <row r="245" spans="2:14" x14ac:dyDescent="0.25">
      <c r="B245" s="2">
        <v>46067</v>
      </c>
      <c r="C245" s="2" t="str">
        <f>UPPER(TEXT(LANÇAMENTOS[[#This Row],[Data]],"mmm"))</f>
        <v>FEV</v>
      </c>
      <c r="D245" s="2" t="str">
        <f>UPPER(TEXT(LANÇAMENTOS[[#This Row],[Data]],"AAAA"))</f>
        <v>2026</v>
      </c>
      <c r="E245" s="1" t="s">
        <v>171</v>
      </c>
      <c r="F245" s="1" t="s">
        <v>4</v>
      </c>
      <c r="G245" s="1" t="s">
        <v>27</v>
      </c>
      <c r="H245" s="1" t="str">
        <f>LANÇAMENTOS[[#This Row],[Categoria]]&amp;"-"&amp;LANÇAMENTOS[[#This Row],[Descrição]]</f>
        <v>LAZER-ZIG*AMATA</v>
      </c>
      <c r="I245" s="1" t="str">
        <f>VLOOKUP(LANÇAMENTOS[[#This Row],[Coluna1]],[1]Planilha2!$K$2:$O$130,4,0)</f>
        <v>Lazer</v>
      </c>
      <c r="J245" s="1" t="str">
        <f>VLOOKUP(LANÇAMENTOS[[#This Row],[Coluna1]],[1]Planilha2!$K$2:$O$130,5,0)</f>
        <v>Balada</v>
      </c>
      <c r="L245" s="14">
        <v>144.91999999999999</v>
      </c>
      <c r="N245" s="1">
        <f>IF(ISNUMBER(LANÇAMENTOS[[#This Row],[Receita]]),LANÇAMENTOS[[#This Row],[Receita]],LANÇAMENTOS[[#This Row],[Transferência]])</f>
        <v>144.91999999999999</v>
      </c>
    </row>
    <row r="246" spans="2:14" x14ac:dyDescent="0.25">
      <c r="B246" s="2">
        <v>46067</v>
      </c>
      <c r="C246" s="2" t="str">
        <f>UPPER(TEXT(LANÇAMENTOS[[#This Row],[Data]],"mmm"))</f>
        <v>FEV</v>
      </c>
      <c r="D246" s="2" t="str">
        <f>UPPER(TEXT(LANÇAMENTOS[[#This Row],[Data]],"AAAA"))</f>
        <v>2026</v>
      </c>
      <c r="E246" s="1" t="s">
        <v>172</v>
      </c>
      <c r="F246" s="1" t="s">
        <v>4</v>
      </c>
      <c r="G246" s="1" t="s">
        <v>27</v>
      </c>
      <c r="H246" s="1" t="str">
        <f>LANÇAMENTOS[[#This Row],[Categoria]]&amp;"-"&amp;LANÇAMENTOS[[#This Row],[Descrição]]</f>
        <v>LAZER-CASA BATIDA</v>
      </c>
      <c r="I246" s="1" t="str">
        <f>VLOOKUP(LANÇAMENTOS[[#This Row],[Coluna1]],[1]Planilha2!$K$2:$O$130,4,0)</f>
        <v>Lazer</v>
      </c>
      <c r="J246" s="1" t="str">
        <f>VLOOKUP(LANÇAMENTOS[[#This Row],[Coluna1]],[1]Planilha2!$K$2:$O$130,5,0)</f>
        <v>Bar</v>
      </c>
      <c r="L246" s="14">
        <v>123.2</v>
      </c>
      <c r="N246" s="1">
        <f>IF(ISNUMBER(LANÇAMENTOS[[#This Row],[Receita]]),LANÇAMENTOS[[#This Row],[Receita]],LANÇAMENTOS[[#This Row],[Transferência]])</f>
        <v>123.2</v>
      </c>
    </row>
    <row r="247" spans="2:14" x14ac:dyDescent="0.25">
      <c r="B247" s="2">
        <v>46067</v>
      </c>
      <c r="C247" s="2" t="str">
        <f>UPPER(TEXT(LANÇAMENTOS[[#This Row],[Data]],"mmm"))</f>
        <v>FEV</v>
      </c>
      <c r="D247" s="2" t="str">
        <f>UPPER(TEXT(LANÇAMENTOS[[#This Row],[Data]],"AAAA"))</f>
        <v>2026</v>
      </c>
      <c r="E247" s="1" t="s">
        <v>124</v>
      </c>
      <c r="F247" s="1" t="s">
        <v>4</v>
      </c>
      <c r="G247" s="1" t="s">
        <v>33</v>
      </c>
      <c r="H247" s="1" t="str">
        <f>LANÇAMENTOS[[#This Row],[Categoria]]&amp;"-"&amp;LANÇAMENTOS[[#This Row],[Descrição]]</f>
        <v>ALIMENTAÇÃO-mc donalds</v>
      </c>
      <c r="I247" s="1" t="str">
        <f>VLOOKUP(LANÇAMENTOS[[#This Row],[Coluna1]],[1]Planilha2!$K$2:$O$130,4,0)</f>
        <v>Alimentação</v>
      </c>
      <c r="J247" s="1" t="str">
        <f>VLOOKUP(LANÇAMENTOS[[#This Row],[Coluna1]],[1]Planilha2!$K$2:$O$130,5,0)</f>
        <v>Restaurante</v>
      </c>
      <c r="L247" s="14">
        <v>87.8</v>
      </c>
      <c r="N247" s="1">
        <f>IF(ISNUMBER(LANÇAMENTOS[[#This Row],[Receita]]),LANÇAMENTOS[[#This Row],[Receita]],LANÇAMENTOS[[#This Row],[Transferência]])</f>
        <v>87.8</v>
      </c>
    </row>
    <row r="248" spans="2:14" x14ac:dyDescent="0.25">
      <c r="B248" s="2">
        <v>46067</v>
      </c>
      <c r="C248" s="2" t="str">
        <f>UPPER(TEXT(LANÇAMENTOS[[#This Row],[Data]],"mmm"))</f>
        <v>FEV</v>
      </c>
      <c r="D248" s="2" t="str">
        <f>UPPER(TEXT(LANÇAMENTOS[[#This Row],[Data]],"AAAA"))</f>
        <v>2026</v>
      </c>
      <c r="E248" s="1" t="s">
        <v>34</v>
      </c>
      <c r="F248" s="1" t="s">
        <v>4</v>
      </c>
      <c r="G248" s="1" t="s">
        <v>35</v>
      </c>
      <c r="H248" s="1" t="str">
        <f>LANÇAMENTOS[[#This Row],[Categoria]]&amp;"-"&amp;LANÇAMENTOS[[#This Row],[Descrição]]</f>
        <v>TRANSPORTE-uber</v>
      </c>
      <c r="I248" s="1" t="str">
        <f>VLOOKUP(LANÇAMENTOS[[#This Row],[Coluna1]],[1]Planilha2!$K$2:$O$130,4,0)</f>
        <v>Transporte</v>
      </c>
      <c r="J248" s="1" t="str">
        <f>VLOOKUP(LANÇAMENTOS[[#This Row],[Coluna1]],[1]Planilha2!$K$2:$O$130,5,0)</f>
        <v>Uber/táxi</v>
      </c>
      <c r="L248" s="14">
        <v>65.930000000000007</v>
      </c>
      <c r="N248" s="1">
        <f>IF(ISNUMBER(LANÇAMENTOS[[#This Row],[Receita]]),LANÇAMENTOS[[#This Row],[Receita]],LANÇAMENTOS[[#This Row],[Transferência]])</f>
        <v>65.930000000000007</v>
      </c>
    </row>
    <row r="249" spans="2:14" x14ac:dyDescent="0.25">
      <c r="B249" s="2">
        <v>46067</v>
      </c>
      <c r="C249" s="2" t="str">
        <f>UPPER(TEXT(LANÇAMENTOS[[#This Row],[Data]],"mmm"))</f>
        <v>FEV</v>
      </c>
      <c r="D249" s="2" t="str">
        <f>UPPER(TEXT(LANÇAMENTOS[[#This Row],[Data]],"AAAA"))</f>
        <v>2026</v>
      </c>
      <c r="E249" s="1" t="s">
        <v>34</v>
      </c>
      <c r="F249" s="1" t="s">
        <v>4</v>
      </c>
      <c r="G249" s="1" t="s">
        <v>35</v>
      </c>
      <c r="H249" s="1" t="str">
        <f>LANÇAMENTOS[[#This Row],[Categoria]]&amp;"-"&amp;LANÇAMENTOS[[#This Row],[Descrição]]</f>
        <v>TRANSPORTE-uber</v>
      </c>
      <c r="I249" s="1" t="str">
        <f>VLOOKUP(LANÇAMENTOS[[#This Row],[Coluna1]],[1]Planilha2!$K$2:$O$130,4,0)</f>
        <v>Transporte</v>
      </c>
      <c r="J249" s="1" t="str">
        <f>VLOOKUP(LANÇAMENTOS[[#This Row],[Coluna1]],[1]Planilha2!$K$2:$O$130,5,0)</f>
        <v>Uber/táxi</v>
      </c>
      <c r="L249" s="14">
        <v>43.07</v>
      </c>
      <c r="N249" s="1">
        <f>IF(ISNUMBER(LANÇAMENTOS[[#This Row],[Receita]]),LANÇAMENTOS[[#This Row],[Receita]],LANÇAMENTOS[[#This Row],[Transferência]])</f>
        <v>43.07</v>
      </c>
    </row>
    <row r="250" spans="2:14" x14ac:dyDescent="0.25">
      <c r="B250" s="2">
        <v>46068</v>
      </c>
      <c r="C250" s="2" t="str">
        <f>UPPER(TEXT(LANÇAMENTOS[[#This Row],[Data]],"mmm"))</f>
        <v>FEV</v>
      </c>
      <c r="D250" s="2" t="str">
        <f>UPPER(TEXT(LANÇAMENTOS[[#This Row],[Data]],"AAAA"))</f>
        <v>2026</v>
      </c>
      <c r="E250" s="1" t="s">
        <v>173</v>
      </c>
      <c r="F250" s="1" t="s">
        <v>4</v>
      </c>
      <c r="G250" s="1" t="s">
        <v>27</v>
      </c>
      <c r="H250" s="1" t="str">
        <f>LANÇAMENTOS[[#This Row],[Categoria]]&amp;"-"&amp;LANÇAMENTOS[[#This Row],[Descrição]]</f>
        <v>LAZER-carnaval - bebida</v>
      </c>
      <c r="I250" s="1" t="str">
        <f>VLOOKUP(LANÇAMENTOS[[#This Row],[Coluna1]],[1]Planilha2!$K$2:$O$130,4,0)</f>
        <v>Lazer</v>
      </c>
      <c r="J250" s="1" t="str">
        <f>VLOOKUP(LANÇAMENTOS[[#This Row],[Coluna1]],[1]Planilha2!$K$2:$O$130,5,0)</f>
        <v>Role</v>
      </c>
      <c r="L250" s="14">
        <v>46</v>
      </c>
      <c r="N250" s="1">
        <f>IF(ISNUMBER(LANÇAMENTOS[[#This Row],[Receita]]),LANÇAMENTOS[[#This Row],[Receita]],LANÇAMENTOS[[#This Row],[Transferência]])</f>
        <v>46</v>
      </c>
    </row>
    <row r="251" spans="2:14" x14ac:dyDescent="0.25">
      <c r="B251" s="2">
        <v>46068</v>
      </c>
      <c r="C251" s="2" t="str">
        <f>UPPER(TEXT(LANÇAMENTOS[[#This Row],[Data]],"mmm"))</f>
        <v>FEV</v>
      </c>
      <c r="D251" s="2" t="str">
        <f>UPPER(TEXT(LANÇAMENTOS[[#This Row],[Data]],"AAAA"))</f>
        <v>2026</v>
      </c>
      <c r="E251" s="1" t="s">
        <v>173</v>
      </c>
      <c r="F251" s="1" t="s">
        <v>4</v>
      </c>
      <c r="G251" s="1" t="s">
        <v>27</v>
      </c>
      <c r="H251" s="1" t="str">
        <f>LANÇAMENTOS[[#This Row],[Categoria]]&amp;"-"&amp;LANÇAMENTOS[[#This Row],[Descrição]]</f>
        <v>LAZER-carnaval - bebida</v>
      </c>
      <c r="I251" s="1" t="str">
        <f>VLOOKUP(LANÇAMENTOS[[#This Row],[Coluna1]],[1]Planilha2!$K$2:$O$130,4,0)</f>
        <v>Lazer</v>
      </c>
      <c r="J251" s="1" t="str">
        <f>VLOOKUP(LANÇAMENTOS[[#This Row],[Coluna1]],[1]Planilha2!$K$2:$O$130,5,0)</f>
        <v>Role</v>
      </c>
      <c r="L251" s="14">
        <v>12</v>
      </c>
      <c r="N251" s="1">
        <f>IF(ISNUMBER(LANÇAMENTOS[[#This Row],[Receita]]),LANÇAMENTOS[[#This Row],[Receita]],LANÇAMENTOS[[#This Row],[Transferência]])</f>
        <v>12</v>
      </c>
    </row>
    <row r="252" spans="2:14" x14ac:dyDescent="0.25">
      <c r="B252" s="2">
        <v>46068</v>
      </c>
      <c r="C252" s="2" t="str">
        <f>UPPER(TEXT(LANÇAMENTOS[[#This Row],[Data]],"mmm"))</f>
        <v>FEV</v>
      </c>
      <c r="D252" s="2" t="str">
        <f>UPPER(TEXT(LANÇAMENTOS[[#This Row],[Data]],"AAAA"))</f>
        <v>2026</v>
      </c>
      <c r="E252" s="1" t="s">
        <v>173</v>
      </c>
      <c r="F252" s="1" t="s">
        <v>4</v>
      </c>
      <c r="G252" s="1" t="s">
        <v>27</v>
      </c>
      <c r="H252" s="1" t="str">
        <f>LANÇAMENTOS[[#This Row],[Categoria]]&amp;"-"&amp;LANÇAMENTOS[[#This Row],[Descrição]]</f>
        <v>LAZER-carnaval - bebida</v>
      </c>
      <c r="I252" s="1" t="str">
        <f>VLOOKUP(LANÇAMENTOS[[#This Row],[Coluna1]],[1]Planilha2!$K$2:$O$130,4,0)</f>
        <v>Lazer</v>
      </c>
      <c r="J252" s="1" t="str">
        <f>VLOOKUP(LANÇAMENTOS[[#This Row],[Coluna1]],[1]Planilha2!$K$2:$O$130,5,0)</f>
        <v>Role</v>
      </c>
      <c r="L252" s="14">
        <v>50</v>
      </c>
      <c r="N252" s="1">
        <f>IF(ISNUMBER(LANÇAMENTOS[[#This Row],[Receita]]),LANÇAMENTOS[[#This Row],[Receita]],LANÇAMENTOS[[#This Row],[Transferência]])</f>
        <v>50</v>
      </c>
    </row>
    <row r="253" spans="2:14" x14ac:dyDescent="0.25">
      <c r="B253" s="2">
        <v>46068</v>
      </c>
      <c r="C253" s="2" t="str">
        <f>UPPER(TEXT(LANÇAMENTOS[[#This Row],[Data]],"mmm"))</f>
        <v>FEV</v>
      </c>
      <c r="D253" s="2" t="str">
        <f>UPPER(TEXT(LANÇAMENTOS[[#This Row],[Data]],"AAAA"))</f>
        <v>2026</v>
      </c>
      <c r="E253" s="1" t="s">
        <v>173</v>
      </c>
      <c r="F253" s="1" t="s">
        <v>4</v>
      </c>
      <c r="G253" s="1" t="s">
        <v>27</v>
      </c>
      <c r="H253" s="1" t="str">
        <f>LANÇAMENTOS[[#This Row],[Categoria]]&amp;"-"&amp;LANÇAMENTOS[[#This Row],[Descrição]]</f>
        <v>LAZER-carnaval - bebida</v>
      </c>
      <c r="I253" s="1" t="str">
        <f>VLOOKUP(LANÇAMENTOS[[#This Row],[Coluna1]],[1]Planilha2!$K$2:$O$130,4,0)</f>
        <v>Lazer</v>
      </c>
      <c r="J253" s="1" t="str">
        <f>VLOOKUP(LANÇAMENTOS[[#This Row],[Coluna1]],[1]Planilha2!$K$2:$O$130,5,0)</f>
        <v>Role</v>
      </c>
      <c r="L253" s="14">
        <v>16.97</v>
      </c>
      <c r="N253" s="1">
        <f>IF(ISNUMBER(LANÇAMENTOS[[#This Row],[Receita]]),LANÇAMENTOS[[#This Row],[Receita]],LANÇAMENTOS[[#This Row],[Transferência]])</f>
        <v>16.97</v>
      </c>
    </row>
    <row r="254" spans="2:14" x14ac:dyDescent="0.25">
      <c r="B254" s="2">
        <v>46068</v>
      </c>
      <c r="C254" s="2" t="str">
        <f>UPPER(TEXT(LANÇAMENTOS[[#This Row],[Data]],"mmm"))</f>
        <v>FEV</v>
      </c>
      <c r="D254" s="2" t="str">
        <f>UPPER(TEXT(LANÇAMENTOS[[#This Row],[Data]],"AAAA"))</f>
        <v>2026</v>
      </c>
      <c r="E254" s="1" t="s">
        <v>173</v>
      </c>
      <c r="F254" s="1" t="s">
        <v>4</v>
      </c>
      <c r="G254" s="1" t="s">
        <v>27</v>
      </c>
      <c r="H254" s="1" t="str">
        <f>LANÇAMENTOS[[#This Row],[Categoria]]&amp;"-"&amp;LANÇAMENTOS[[#This Row],[Descrição]]</f>
        <v>LAZER-carnaval - bebida</v>
      </c>
      <c r="I254" s="1" t="str">
        <f>VLOOKUP(LANÇAMENTOS[[#This Row],[Coluna1]],[1]Planilha2!$K$2:$O$130,4,0)</f>
        <v>Lazer</v>
      </c>
      <c r="J254" s="1" t="str">
        <f>VLOOKUP(LANÇAMENTOS[[#This Row],[Coluna1]],[1]Planilha2!$K$2:$O$130,5,0)</f>
        <v>Role</v>
      </c>
      <c r="L254" s="14">
        <v>78</v>
      </c>
      <c r="N254" s="1">
        <f>IF(ISNUMBER(LANÇAMENTOS[[#This Row],[Receita]]),LANÇAMENTOS[[#This Row],[Receita]],LANÇAMENTOS[[#This Row],[Transferência]])</f>
        <v>78</v>
      </c>
    </row>
    <row r="255" spans="2:14" x14ac:dyDescent="0.25">
      <c r="B255" s="2">
        <v>46068</v>
      </c>
      <c r="C255" s="2" t="str">
        <f>UPPER(TEXT(LANÇAMENTOS[[#This Row],[Data]],"mmm"))</f>
        <v>FEV</v>
      </c>
      <c r="D255" s="2" t="str">
        <f>UPPER(TEXT(LANÇAMENTOS[[#This Row],[Data]],"AAAA"))</f>
        <v>2026</v>
      </c>
      <c r="E255" s="1" t="s">
        <v>48</v>
      </c>
      <c r="F255" s="1" t="s">
        <v>4</v>
      </c>
      <c r="G255" s="1" t="s">
        <v>35</v>
      </c>
      <c r="H255" s="1" t="str">
        <f>LANÇAMENTOS[[#This Row],[Categoria]]&amp;"-"&amp;LANÇAMENTOS[[#This Row],[Descrição]]</f>
        <v>TRANSPORTE-UBER</v>
      </c>
      <c r="I255" s="1" t="str">
        <f>VLOOKUP(LANÇAMENTOS[[#This Row],[Coluna1]],[1]Planilha2!$K$2:$O$130,4,0)</f>
        <v>Transporte</v>
      </c>
      <c r="J255" s="1" t="str">
        <f>VLOOKUP(LANÇAMENTOS[[#This Row],[Coluna1]],[1]Planilha2!$K$2:$O$130,5,0)</f>
        <v>Uber/táxi</v>
      </c>
      <c r="L255" s="14">
        <v>76.930000000000007</v>
      </c>
      <c r="N255" s="1">
        <f>IF(ISNUMBER(LANÇAMENTOS[[#This Row],[Receita]]),LANÇAMENTOS[[#This Row],[Receita]],LANÇAMENTOS[[#This Row],[Transferência]])</f>
        <v>76.930000000000007</v>
      </c>
    </row>
    <row r="256" spans="2:14" x14ac:dyDescent="0.25">
      <c r="B256" s="2">
        <v>46069</v>
      </c>
      <c r="C256" s="2" t="str">
        <f>UPPER(TEXT(LANÇAMENTOS[[#This Row],[Data]],"mmm"))</f>
        <v>FEV</v>
      </c>
      <c r="D256" s="2" t="str">
        <f>UPPER(TEXT(LANÇAMENTOS[[#This Row],[Data]],"AAAA"))</f>
        <v>2026</v>
      </c>
      <c r="E256" s="1" t="s">
        <v>69</v>
      </c>
      <c r="F256" s="1" t="s">
        <v>4</v>
      </c>
      <c r="G256" s="1" t="s">
        <v>33</v>
      </c>
      <c r="H256" s="1" t="str">
        <f>LANÇAMENTOS[[#This Row],[Categoria]]&amp;"-"&amp;LANÇAMENTOS[[#This Row],[Descrição]]</f>
        <v>ALIMENTAÇÃO-mercado</v>
      </c>
      <c r="I256" s="1" t="str">
        <f>VLOOKUP(LANÇAMENTOS[[#This Row],[Coluna1]],[1]Planilha2!$K$2:$O$130,4,0)</f>
        <v>Alimentação</v>
      </c>
      <c r="J256" s="1" t="str">
        <f>VLOOKUP(LANÇAMENTOS[[#This Row],[Coluna1]],[1]Planilha2!$K$2:$O$130,5,0)</f>
        <v>Mercado</v>
      </c>
      <c r="L256" s="14">
        <v>482.2</v>
      </c>
      <c r="N256" s="1">
        <f>IF(ISNUMBER(LANÇAMENTOS[[#This Row],[Receita]]),LANÇAMENTOS[[#This Row],[Receita]],LANÇAMENTOS[[#This Row],[Transferência]])</f>
        <v>482.2</v>
      </c>
    </row>
    <row r="257" spans="2:14" x14ac:dyDescent="0.25">
      <c r="B257" s="2">
        <v>46069</v>
      </c>
      <c r="C257" s="2" t="str">
        <f>UPPER(TEXT(LANÇAMENTOS[[#This Row],[Data]],"mmm"))</f>
        <v>FEV</v>
      </c>
      <c r="D257" s="2" t="str">
        <f>UPPER(TEXT(LANÇAMENTOS[[#This Row],[Data]],"AAAA"))</f>
        <v>2026</v>
      </c>
      <c r="E257" s="1" t="s">
        <v>174</v>
      </c>
      <c r="F257" s="1" t="s">
        <v>4</v>
      </c>
      <c r="G257" s="1" t="s">
        <v>27</v>
      </c>
      <c r="H257" s="1" t="str">
        <f>LANÇAMENTOS[[#This Row],[Categoria]]&amp;"-"&amp;LANÇAMENTOS[[#This Row],[Descrição]]</f>
        <v>LAZER-formatura leh</v>
      </c>
      <c r="I257" s="1" t="str">
        <f>VLOOKUP(LANÇAMENTOS[[#This Row],[Coluna1]],[1]Planilha2!$K$2:$O$130,4,0)</f>
        <v>Lazer</v>
      </c>
      <c r="J257" s="1" t="str">
        <f>VLOOKUP(LANÇAMENTOS[[#This Row],[Coluna1]],[1]Planilha2!$K$2:$O$130,5,0)</f>
        <v>Role</v>
      </c>
      <c r="L257" s="14">
        <v>159.63999999999999</v>
      </c>
      <c r="N257" s="1">
        <f>IF(ISNUMBER(LANÇAMENTOS[[#This Row],[Receita]]),LANÇAMENTOS[[#This Row],[Receita]],LANÇAMENTOS[[#This Row],[Transferência]])</f>
        <v>159.63999999999999</v>
      </c>
    </row>
    <row r="258" spans="2:14" x14ac:dyDescent="0.25">
      <c r="B258" s="2">
        <v>46070</v>
      </c>
      <c r="C258" s="2" t="str">
        <f>UPPER(TEXT(LANÇAMENTOS[[#This Row],[Data]],"mmm"))</f>
        <v>FEV</v>
      </c>
      <c r="D258" s="2" t="str">
        <f>UPPER(TEXT(LANÇAMENTOS[[#This Row],[Data]],"AAAA"))</f>
        <v>2026</v>
      </c>
      <c r="E258" s="1" t="s">
        <v>175</v>
      </c>
      <c r="F258" s="1" t="s">
        <v>4</v>
      </c>
      <c r="G258" s="1" t="s">
        <v>33</v>
      </c>
      <c r="H258" s="1" t="str">
        <f>LANÇAMENTOS[[#This Row],[Categoria]]&amp;"-"&amp;LANÇAMENTOS[[#This Row],[Descrição]]</f>
        <v>ALIMENTAÇÃO-IFD*MANIHI SUSHI - TAMBOR</v>
      </c>
      <c r="I258" s="1" t="str">
        <f>VLOOKUP(LANÇAMENTOS[[#This Row],[Coluna1]],[1]Planilha2!$K$2:$O$130,4,0)</f>
        <v>Alimentação</v>
      </c>
      <c r="J258" s="1" t="str">
        <f>VLOOKUP(LANÇAMENTOS[[#This Row],[Coluna1]],[1]Planilha2!$K$2:$O$130,5,0)</f>
        <v>Delivery</v>
      </c>
      <c r="L258" s="14">
        <v>59.93</v>
      </c>
      <c r="N258" s="1">
        <f>IF(ISNUMBER(LANÇAMENTOS[[#This Row],[Receita]]),LANÇAMENTOS[[#This Row],[Receita]],LANÇAMENTOS[[#This Row],[Transferência]])</f>
        <v>59.93</v>
      </c>
    </row>
    <row r="259" spans="2:14" x14ac:dyDescent="0.25">
      <c r="B259" s="2">
        <v>46071</v>
      </c>
      <c r="C259" s="2" t="str">
        <f>UPPER(TEXT(LANÇAMENTOS[[#This Row],[Data]],"mmm"))</f>
        <v>FEV</v>
      </c>
      <c r="D259" s="2" t="str">
        <f>UPPER(TEXT(LANÇAMENTOS[[#This Row],[Data]],"AAAA"))</f>
        <v>2026</v>
      </c>
      <c r="E259" s="1" t="s">
        <v>150</v>
      </c>
      <c r="F259" s="1" t="s">
        <v>5</v>
      </c>
      <c r="G259" s="1" t="s">
        <v>27</v>
      </c>
      <c r="H259" s="1" t="str">
        <f>LANÇAMENTOS[[#This Row],[Categoria]]&amp;"-"&amp;LANÇAMENTOS[[#This Row],[Descrição]]</f>
        <v>LAZER-pix role</v>
      </c>
      <c r="I259" s="1" t="str">
        <f>VLOOKUP(LANÇAMENTOS[[#This Row],[Coluna1]],[1]Planilha2!$K$2:$O$130,4,0)</f>
        <v>Lazer</v>
      </c>
      <c r="J259" s="1" t="str">
        <f>VLOOKUP(LANÇAMENTOS[[#This Row],[Coluna1]],[1]Planilha2!$K$2:$O$130,5,0)</f>
        <v>Pix</v>
      </c>
      <c r="K259" s="14">
        <v>95</v>
      </c>
      <c r="N259" s="1">
        <f>IF(ISNUMBER(LANÇAMENTOS[[#This Row],[Receita]]),LANÇAMENTOS[[#This Row],[Receita]],LANÇAMENTOS[[#This Row],[Transferência]])</f>
        <v>95</v>
      </c>
    </row>
    <row r="260" spans="2:14" x14ac:dyDescent="0.25">
      <c r="B260" s="2">
        <v>46071</v>
      </c>
      <c r="C260" s="2" t="str">
        <f>UPPER(TEXT(LANÇAMENTOS[[#This Row],[Data]],"mmm"))</f>
        <v>FEV</v>
      </c>
      <c r="D260" s="2" t="str">
        <f>UPPER(TEXT(LANÇAMENTOS[[#This Row],[Data]],"AAAA"))</f>
        <v>2026</v>
      </c>
      <c r="E260" s="1" t="s">
        <v>150</v>
      </c>
      <c r="F260" s="1" t="s">
        <v>5</v>
      </c>
      <c r="G260" s="1" t="s">
        <v>27</v>
      </c>
      <c r="H260" s="1" t="str">
        <f>LANÇAMENTOS[[#This Row],[Categoria]]&amp;"-"&amp;LANÇAMENTOS[[#This Row],[Descrição]]</f>
        <v>LAZER-pix role</v>
      </c>
      <c r="I260" s="1" t="str">
        <f>VLOOKUP(LANÇAMENTOS[[#This Row],[Coluna1]],[1]Planilha2!$K$2:$O$130,4,0)</f>
        <v>Lazer</v>
      </c>
      <c r="J260" s="1" t="str">
        <f>VLOOKUP(LANÇAMENTOS[[#This Row],[Coluna1]],[1]Planilha2!$K$2:$O$130,5,0)</f>
        <v>Pix</v>
      </c>
      <c r="K260" s="14">
        <v>95</v>
      </c>
      <c r="N260" s="1">
        <f>IF(ISNUMBER(LANÇAMENTOS[[#This Row],[Receita]]),LANÇAMENTOS[[#This Row],[Receita]],LANÇAMENTOS[[#This Row],[Transferência]])</f>
        <v>95</v>
      </c>
    </row>
    <row r="261" spans="2:14" x14ac:dyDescent="0.25">
      <c r="B261" s="2">
        <v>46071</v>
      </c>
      <c r="C261" s="2" t="str">
        <f>UPPER(TEXT(LANÇAMENTOS[[#This Row],[Data]],"mmm"))</f>
        <v>FEV</v>
      </c>
      <c r="D261" s="2" t="str">
        <f>UPPER(TEXT(LANÇAMENTOS[[#This Row],[Data]],"AAAA"))</f>
        <v>2026</v>
      </c>
      <c r="E261" s="1" t="s">
        <v>150</v>
      </c>
      <c r="F261" s="1" t="s">
        <v>5</v>
      </c>
      <c r="G261" s="1" t="s">
        <v>27</v>
      </c>
      <c r="H261" s="1" t="str">
        <f>LANÇAMENTOS[[#This Row],[Categoria]]&amp;"-"&amp;LANÇAMENTOS[[#This Row],[Descrição]]</f>
        <v>LAZER-pix role</v>
      </c>
      <c r="I261" s="1" t="str">
        <f>VLOOKUP(LANÇAMENTOS[[#This Row],[Coluna1]],[1]Planilha2!$K$2:$O$130,4,0)</f>
        <v>Lazer</v>
      </c>
      <c r="J261" s="1" t="str">
        <f>VLOOKUP(LANÇAMENTOS[[#This Row],[Coluna1]],[1]Planilha2!$K$2:$O$130,5,0)</f>
        <v>Pix</v>
      </c>
      <c r="K261" s="14">
        <v>644.1</v>
      </c>
      <c r="N261" s="1">
        <f>IF(ISNUMBER(LANÇAMENTOS[[#This Row],[Receita]]),LANÇAMENTOS[[#This Row],[Receita]],LANÇAMENTOS[[#This Row],[Transferência]])</f>
        <v>644.1</v>
      </c>
    </row>
    <row r="262" spans="2:14" x14ac:dyDescent="0.25">
      <c r="B262" s="2">
        <v>46071</v>
      </c>
      <c r="C262" s="2" t="str">
        <f>UPPER(TEXT(LANÇAMENTOS[[#This Row],[Data]],"mmm"))</f>
        <v>FEV</v>
      </c>
      <c r="D262" s="2" t="str">
        <f>UPPER(TEXT(LANÇAMENTOS[[#This Row],[Data]],"AAAA"))</f>
        <v>2026</v>
      </c>
      <c r="E262" s="1" t="s">
        <v>176</v>
      </c>
      <c r="F262" s="1" t="s">
        <v>5</v>
      </c>
      <c r="G262" s="1" t="s">
        <v>27</v>
      </c>
      <c r="H262" s="1" t="str">
        <f>LANÇAMENTOS[[#This Row],[Categoria]]&amp;"-"&amp;LANÇAMENTOS[[#This Row],[Descrição]]</f>
        <v>LAZER-Cervegames</v>
      </c>
      <c r="I262" s="1" t="str">
        <f>VLOOKUP(LANÇAMENTOS[[#This Row],[Coluna1]],[1]Planilha2!$K$2:$O$130,4,0)</f>
        <v>Lazer</v>
      </c>
      <c r="J262" s="1" t="str">
        <f>VLOOKUP(LANÇAMENTOS[[#This Row],[Coluna1]],[1]Planilha2!$K$2:$O$130,5,0)</f>
        <v>Role</v>
      </c>
      <c r="K262" s="14">
        <v>975</v>
      </c>
      <c r="N262" s="1">
        <f>IF(ISNUMBER(LANÇAMENTOS[[#This Row],[Receita]]),LANÇAMENTOS[[#This Row],[Receita]],LANÇAMENTOS[[#This Row],[Transferência]])</f>
        <v>975</v>
      </c>
    </row>
    <row r="263" spans="2:14" x14ac:dyDescent="0.25">
      <c r="B263" s="2">
        <v>46071</v>
      </c>
      <c r="C263" s="2" t="str">
        <f>UPPER(TEXT(LANÇAMENTOS[[#This Row],[Data]],"mmm"))</f>
        <v>FEV</v>
      </c>
      <c r="D263" s="2" t="str">
        <f>UPPER(TEXT(LANÇAMENTOS[[#This Row],[Data]],"AAAA"))</f>
        <v>2026</v>
      </c>
      <c r="E263" s="1" t="s">
        <v>177</v>
      </c>
      <c r="F263" s="1" t="s">
        <v>4</v>
      </c>
      <c r="G263" s="1" t="s">
        <v>27</v>
      </c>
      <c r="H263" s="1" t="str">
        <f>LANÇAMENTOS[[#This Row],[Categoria]]&amp;"-"&amp;LANÇAMENTOS[[#This Row],[Descrição]]</f>
        <v>LAZER-chopeira</v>
      </c>
      <c r="I263" s="1" t="str">
        <f>VLOOKUP(LANÇAMENTOS[[#This Row],[Coluna1]],[1]Planilha2!$K$2:$O$130,4,0)</f>
        <v>Lazer</v>
      </c>
      <c r="J263" s="1" t="str">
        <f>VLOOKUP(LANÇAMENTOS[[#This Row],[Coluna1]],[1]Planilha2!$K$2:$O$130,5,0)</f>
        <v>Role</v>
      </c>
      <c r="L263" s="14">
        <v>925.49</v>
      </c>
      <c r="N263" s="1">
        <f>IF(ISNUMBER(LANÇAMENTOS[[#This Row],[Receita]]),LANÇAMENTOS[[#This Row],[Receita]],LANÇAMENTOS[[#This Row],[Transferência]])</f>
        <v>925.49</v>
      </c>
    </row>
    <row r="264" spans="2:14" x14ac:dyDescent="0.25">
      <c r="B264" s="2">
        <v>46071</v>
      </c>
      <c r="C264" s="2" t="str">
        <f>UPPER(TEXT(LANÇAMENTOS[[#This Row],[Data]],"mmm"))</f>
        <v>FEV</v>
      </c>
      <c r="D264" s="2" t="str">
        <f>UPPER(TEXT(LANÇAMENTOS[[#This Row],[Data]],"AAAA"))</f>
        <v>2026</v>
      </c>
      <c r="E264" s="1" t="s">
        <v>178</v>
      </c>
      <c r="F264" s="1" t="s">
        <v>4</v>
      </c>
      <c r="G264" s="1" t="s">
        <v>27</v>
      </c>
      <c r="H264" s="1" t="str">
        <f>LANÇAMENTOS[[#This Row],[Categoria]]&amp;"-"&amp;LANÇAMENTOS[[#This Row],[Descrição]]</f>
        <v>LAZER-sanduiche de metro</v>
      </c>
      <c r="I264" s="1" t="str">
        <f>VLOOKUP(LANÇAMENTOS[[#This Row],[Coluna1]],[1]Planilha2!$K$2:$O$130,4,0)</f>
        <v>Lazer</v>
      </c>
      <c r="J264" s="1" t="str">
        <f>VLOOKUP(LANÇAMENTOS[[#This Row],[Coluna1]],[1]Planilha2!$K$2:$O$130,5,0)</f>
        <v>Role</v>
      </c>
      <c r="L264" s="14">
        <v>273</v>
      </c>
      <c r="N264" s="1">
        <f>IF(ISNUMBER(LANÇAMENTOS[[#This Row],[Receita]]),LANÇAMENTOS[[#This Row],[Receita]],LANÇAMENTOS[[#This Row],[Transferência]])</f>
        <v>273</v>
      </c>
    </row>
    <row r="265" spans="2:14" x14ac:dyDescent="0.25">
      <c r="B265" s="2">
        <v>46071</v>
      </c>
      <c r="C265" s="2" t="str">
        <f>UPPER(TEXT(LANÇAMENTOS[[#This Row],[Data]],"mmm"))</f>
        <v>FEV</v>
      </c>
      <c r="D265" s="2" t="str">
        <f>UPPER(TEXT(LANÇAMENTOS[[#This Row],[Data]],"AAAA"))</f>
        <v>2026</v>
      </c>
      <c r="E265" s="1" t="s">
        <v>150</v>
      </c>
      <c r="F265" s="1" t="s">
        <v>4</v>
      </c>
      <c r="G265" s="1" t="s">
        <v>27</v>
      </c>
      <c r="H265" s="1" t="str">
        <f>LANÇAMENTOS[[#This Row],[Categoria]]&amp;"-"&amp;LANÇAMENTOS[[#This Row],[Descrição]]</f>
        <v>LAZER-pix role</v>
      </c>
      <c r="I265" s="1" t="str">
        <f>VLOOKUP(LANÇAMENTOS[[#This Row],[Coluna1]],[1]Planilha2!$K$2:$O$130,4,0)</f>
        <v>Lazer</v>
      </c>
      <c r="J265" s="1" t="str">
        <f>VLOOKUP(LANÇAMENTOS[[#This Row],[Coluna1]],[1]Planilha2!$K$2:$O$130,5,0)</f>
        <v>Pix</v>
      </c>
      <c r="L265" s="14">
        <v>40</v>
      </c>
      <c r="N265" s="1">
        <f>IF(ISNUMBER(LANÇAMENTOS[[#This Row],[Receita]]),LANÇAMENTOS[[#This Row],[Receita]],LANÇAMENTOS[[#This Row],[Transferência]])</f>
        <v>40</v>
      </c>
    </row>
  </sheetData>
  <mergeCells count="1">
    <mergeCell ref="B1:L1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020586-80DE-465D-B580-ED4CD92849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Dashboard</vt:lpstr>
      <vt:lpstr>Planilha1</vt:lpstr>
      <vt:lpstr>Análises</vt:lpstr>
      <vt:lpstr>Lançamentos</vt:lpstr>
      <vt:lpstr>Soma_Despesa</vt:lpstr>
      <vt:lpstr>Soma_Receita</vt:lpstr>
      <vt:lpstr>Soma_Saldo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</dc:creator>
  <cp:lastModifiedBy>Lucas Graziano</cp:lastModifiedBy>
  <dcterms:created xsi:type="dcterms:W3CDTF">2021-03-02T23:53:14Z</dcterms:created>
  <dcterms:modified xsi:type="dcterms:W3CDTF">2026-02-23T21:51:19Z</dcterms:modified>
</cp:coreProperties>
</file>